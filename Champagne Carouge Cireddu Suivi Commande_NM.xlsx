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vi Client" sheetId="1" r:id="rId4"/>
    <sheet state="visible" name="Feuille 68" sheetId="2" r:id="rId5"/>
    <sheet state="visible" name="Suivi Facturation 2025" sheetId="3" r:id="rId6"/>
    <sheet state="visible" name="Facturation 2025" sheetId="4" r:id="rId7"/>
    <sheet state="visible" name="Facturation 2025 HT" sheetId="5" r:id="rId8"/>
    <sheet state="visible" name="Suivi Facturation 2024" sheetId="6" r:id="rId9"/>
    <sheet state="visible" name="Facturation 2024" sheetId="7" r:id="rId10"/>
    <sheet state="visible" name="Facturation 2020" sheetId="8" r:id="rId11"/>
    <sheet state="visible" name="Facturation 2024 HT" sheetId="9" r:id="rId12"/>
    <sheet state="visible" name="Suivi Facturation 2023" sheetId="10" r:id="rId13"/>
    <sheet state="visible" name="Facturation 2023" sheetId="11" r:id="rId14"/>
    <sheet state="visible" name="Facturation 2023 HT" sheetId="12" r:id="rId15"/>
    <sheet state="visible" name="Suivi Facturation 2022" sheetId="13" r:id="rId16"/>
    <sheet state="visible" name="Facturation 2021" sheetId="14" r:id="rId17"/>
    <sheet state="visible" name="Facturation 2022" sheetId="15" r:id="rId18"/>
    <sheet state="visible" name="Suivi Facturation 2020" sheetId="16" r:id="rId19"/>
    <sheet state="visible" name="Suivi Facturation 2021" sheetId="17" r:id="rId20"/>
    <sheet state="visible" name="LISTE DEROULANTE" sheetId="18" r:id="rId21"/>
    <sheet state="visible" name="stocks" sheetId="19" r:id="rId22"/>
  </sheets>
  <externalReferences>
    <externalReference r:id="rId23"/>
  </externalReferences>
  <definedNames>
    <definedName name="nom_société">#REF!</definedName>
    <definedName name="LigneTitreRégion1..C7">#REF!</definedName>
    <definedName name="LigneTitreRégion2..G5">#REF!</definedName>
    <definedName name="LigneTitreRégion3..G26">#REF!</definedName>
    <definedName hidden="1" localSheetId="2" name="_xlnm._FilterDatabase">'Suivi Facturation 2025'!$A$1:$AI$996</definedName>
    <definedName hidden="1" localSheetId="5" name="_xlnm._FilterDatabase">'Suivi Facturation 2024'!$A$1:$AI$996</definedName>
    <definedName hidden="1" localSheetId="9" name="_xlnm._FilterDatabase">'Suivi Facturation 2023'!$A$1:$AI$996</definedName>
    <definedName hidden="1" localSheetId="12" name="_xlnm._FilterDatabase">'Suivi Facturation 2022'!$A$1:$AI$996</definedName>
    <definedName hidden="1" localSheetId="15" name="_xlnm._FilterDatabase">'Suivi Facturation 2020'!$B$5:$AA$127</definedName>
    <definedName hidden="1" localSheetId="16" name="_xlnm._FilterDatabase">'Suivi Facturation 2021'!$A$1:$AH$998</definedName>
  </definedNames>
  <calcPr/>
  <extLst>
    <ext uri="GoogleSheetsCustomDataVersion2">
      <go:sheetsCustomData xmlns:go="http://customooxmlschemas.google.com/" r:id="rId24" roundtripDataChecksum="mcdRfiYlFAE2FmIdtKyU+vZEHRBlvpkGMDeeXdPwfBg="/>
    </ext>
  </extLst>
</workbook>
</file>

<file path=xl/sharedStrings.xml><?xml version="1.0" encoding="utf-8"?>
<sst xmlns="http://schemas.openxmlformats.org/spreadsheetml/2006/main" count="2570" uniqueCount="964">
  <si>
    <t>Prénom</t>
  </si>
  <si>
    <t>Nom Complet</t>
  </si>
  <si>
    <t>Mail</t>
  </si>
  <si>
    <t>Adresse</t>
  </si>
  <si>
    <t>Code Postale</t>
  </si>
  <si>
    <t>Ville</t>
  </si>
  <si>
    <t>Numéro de téléphone</t>
  </si>
  <si>
    <t>Carouge</t>
  </si>
  <si>
    <t>Léo</t>
  </si>
  <si>
    <t>leocarouge@gmail.com</t>
  </si>
  <si>
    <t>144 Avenue de Flandre</t>
  </si>
  <si>
    <t>PARIS</t>
  </si>
  <si>
    <t>marrié</t>
  </si>
  <si>
    <t>Agnès</t>
  </si>
  <si>
    <t>leclézio</t>
  </si>
  <si>
    <t>Pierre</t>
  </si>
  <si>
    <t>LAPEDAGNE</t>
  </si>
  <si>
    <t>GAEL</t>
  </si>
  <si>
    <t>SAINT JEAN DE LUZ</t>
  </si>
  <si>
    <t>MADARIAGA</t>
  </si>
  <si>
    <t>OIHAN</t>
  </si>
  <si>
    <t>HENDAYE</t>
  </si>
  <si>
    <t>WOJTOWIC</t>
  </si>
  <si>
    <t>ACHILLE</t>
  </si>
  <si>
    <t>LASSERRE</t>
  </si>
  <si>
    <t>BASTIEN</t>
  </si>
  <si>
    <t>CIBOUR</t>
  </si>
  <si>
    <t>LANDRIEU</t>
  </si>
  <si>
    <t>HUGO</t>
  </si>
  <si>
    <t>COUDRET</t>
  </si>
  <si>
    <t>CHARLOTTE</t>
  </si>
  <si>
    <t>BILBAO</t>
  </si>
  <si>
    <t>XANTI</t>
  </si>
  <si>
    <t>POULHES</t>
  </si>
  <si>
    <t>CHARLES</t>
  </si>
  <si>
    <t>SIMON</t>
  </si>
  <si>
    <t>ALEXANDRE</t>
  </si>
  <si>
    <t>ETXABE</t>
  </si>
  <si>
    <t>GENTZA</t>
  </si>
  <si>
    <t>URRUGNE</t>
  </si>
  <si>
    <t>COTINA</t>
  </si>
  <si>
    <t>BIXENTE</t>
  </si>
  <si>
    <t>AIZPURUA</t>
  </si>
  <si>
    <t>GABI</t>
  </si>
  <si>
    <t>MATESANZE</t>
  </si>
  <si>
    <t>JAIME</t>
  </si>
  <si>
    <t>DUBARBIER</t>
  </si>
  <si>
    <t>JOELLE</t>
  </si>
  <si>
    <t>Cireddu</t>
  </si>
  <si>
    <t>Gregory</t>
  </si>
  <si>
    <t>Mazeroy</t>
  </si>
  <si>
    <t>Gintrand</t>
  </si>
  <si>
    <t xml:space="preserve">Philippe </t>
  </si>
  <si>
    <t>2 CHEMIN D OLLANET</t>
  </si>
  <si>
    <t>St vallier</t>
  </si>
  <si>
    <t xml:space="preserve">Fassaert </t>
  </si>
  <si>
    <t xml:space="preserve">Pascal </t>
  </si>
  <si>
    <t>ROUTE DE PLANCY</t>
  </si>
  <si>
    <t>Mery/Seine</t>
  </si>
  <si>
    <t>Soulhac</t>
  </si>
  <si>
    <t>Eric</t>
  </si>
  <si>
    <t>6 ALLLEE DES TERRASSES DU RHONE</t>
  </si>
  <si>
    <t xml:space="preserve">St vallier </t>
  </si>
  <si>
    <t>Bouilot</t>
  </si>
  <si>
    <t>Jac/dan</t>
  </si>
  <si>
    <t>11 RUE LUCIE AUBRAC</t>
  </si>
  <si>
    <t>Nimes</t>
  </si>
  <si>
    <t>Xantie</t>
  </si>
  <si>
    <t>St jean de luz</t>
  </si>
  <si>
    <t>Morel</t>
  </si>
  <si>
    <t>Jacques</t>
  </si>
  <si>
    <t>20 RUE DU 11 NOVEMBRE</t>
  </si>
  <si>
    <t>ST E SAVINE</t>
  </si>
  <si>
    <t>Jeff</t>
  </si>
  <si>
    <t>Fassaert</t>
  </si>
  <si>
    <t>concarneau</t>
  </si>
  <si>
    <t>ZACHARIE</t>
  </si>
  <si>
    <t>FISHER</t>
  </si>
  <si>
    <t>LEO</t>
  </si>
  <si>
    <t>camille</t>
  </si>
  <si>
    <t>cireddu</t>
  </si>
  <si>
    <t>bordeaux</t>
  </si>
  <si>
    <t xml:space="preserve">Jean-Louis </t>
  </si>
  <si>
    <t>Dubois</t>
  </si>
  <si>
    <t>Jeanlouisdubois@aol.com</t>
  </si>
  <si>
    <t>2 impasse le grand fin</t>
  </si>
  <si>
    <t xml:space="preserve">Torey en plaine </t>
  </si>
  <si>
    <t>Chataigner</t>
  </si>
  <si>
    <t>Aymeric</t>
  </si>
  <si>
    <t>Talence</t>
  </si>
  <si>
    <t>Meon</t>
  </si>
  <si>
    <t>Benoit</t>
  </si>
  <si>
    <t>b.meon@acofi.com</t>
  </si>
  <si>
    <t xml:space="preserve">Valerie </t>
  </si>
  <si>
    <t>RUE DE VERDUN</t>
  </si>
  <si>
    <t>EPERNAY</t>
  </si>
  <si>
    <t>Nino</t>
  </si>
  <si>
    <t>flavigny</t>
  </si>
  <si>
    <t>jaunet</t>
  </si>
  <si>
    <t>cedric</t>
  </si>
  <si>
    <t>emmerainville</t>
  </si>
  <si>
    <t>Pascal</t>
  </si>
  <si>
    <t>TROYES</t>
  </si>
  <si>
    <t>MICHELLE</t>
  </si>
  <si>
    <t>MERY SUR SEINE</t>
  </si>
  <si>
    <t>MARTIN</t>
  </si>
  <si>
    <t>JEAN</t>
  </si>
  <si>
    <t>BOUTMY</t>
  </si>
  <si>
    <t>Stanislas</t>
  </si>
  <si>
    <t>stanislas.boutmy@sienna-im.com</t>
  </si>
  <si>
    <t>CONSO</t>
  </si>
  <si>
    <t>CADEAU</t>
  </si>
  <si>
    <t xml:space="preserve">Gautier </t>
  </si>
  <si>
    <t>Valerie Franck</t>
  </si>
  <si>
    <t>valerie-art@sfr.fr</t>
  </si>
  <si>
    <t>Faviere</t>
  </si>
  <si>
    <t>Francoise</t>
  </si>
  <si>
    <t>amie dubarbier</t>
  </si>
  <si>
    <t>Sandre</t>
  </si>
  <si>
    <t>LOVERGNE</t>
  </si>
  <si>
    <t>Lucile</t>
  </si>
  <si>
    <t>Gauchet</t>
  </si>
  <si>
    <t xml:space="preserve">Parent </t>
  </si>
  <si>
    <t>Philémon</t>
  </si>
  <si>
    <t>Epernay</t>
  </si>
  <si>
    <t>Briest</t>
  </si>
  <si>
    <t>Paul</t>
  </si>
  <si>
    <t>paul.briestcastaldo@gmail.com</t>
  </si>
  <si>
    <t>2 RUE ST REMY</t>
  </si>
  <si>
    <t>Athis</t>
  </si>
  <si>
    <t xml:space="preserve">Carouge </t>
  </si>
  <si>
    <t>James</t>
  </si>
  <si>
    <t>famille-carouge@orange.fr</t>
  </si>
  <si>
    <t>6rue de l eglise</t>
  </si>
  <si>
    <t>FLAVIGNY</t>
  </si>
  <si>
    <t>Paquin</t>
  </si>
  <si>
    <t>Regis</t>
  </si>
  <si>
    <t>Rue hermiere</t>
  </si>
  <si>
    <t>Tracol</t>
  </si>
  <si>
    <t>Aurelien</t>
  </si>
  <si>
    <t>165route du suc de verre</t>
  </si>
  <si>
    <t>ARDOIX</t>
  </si>
  <si>
    <t>Yannick</t>
  </si>
  <si>
    <t>Troyes</t>
  </si>
  <si>
    <t>François</t>
  </si>
  <si>
    <t>38 Avenue Jean Faure</t>
  </si>
  <si>
    <t>Fouillouse</t>
  </si>
  <si>
    <t xml:space="preserve">Girard </t>
  </si>
  <si>
    <t>385 rue des vignes</t>
  </si>
  <si>
    <t>St barthélemy de Vals</t>
  </si>
  <si>
    <t xml:space="preserve">Camille </t>
  </si>
  <si>
    <t>Zimmermann</t>
  </si>
  <si>
    <t>Paris</t>
  </si>
  <si>
    <t>Garval /Amaral</t>
  </si>
  <si>
    <t>reims</t>
  </si>
  <si>
    <t>Sarha</t>
  </si>
  <si>
    <t>paris</t>
  </si>
  <si>
    <t>Straubhaar</t>
  </si>
  <si>
    <t>Benjamin</t>
  </si>
  <si>
    <t>Bordeaux</t>
  </si>
  <si>
    <t>Karine GATE</t>
  </si>
  <si>
    <t>Morvan</t>
  </si>
  <si>
    <t>Daphne</t>
  </si>
  <si>
    <t>425 cote de Manoubrey</t>
  </si>
  <si>
    <t>TABANAC</t>
  </si>
  <si>
    <t>Surman</t>
  </si>
  <si>
    <t>Fanny</t>
  </si>
  <si>
    <t xml:space="preserve">RAMONVILLE SAINT AGNE </t>
  </si>
  <si>
    <t>Dubourdieu</t>
  </si>
  <si>
    <t>Alice</t>
  </si>
  <si>
    <t>78 AV DU MARECHAL FOCH F1-104</t>
  </si>
  <si>
    <t>CAP BRETON</t>
  </si>
  <si>
    <t>Juste Aguer</t>
  </si>
  <si>
    <t>Manon</t>
  </si>
  <si>
    <t>5 Impasse Colette</t>
  </si>
  <si>
    <t>ISABELLE</t>
  </si>
  <si>
    <t>CLAVERY</t>
  </si>
  <si>
    <t>BORDEAUX</t>
  </si>
  <si>
    <t>JULIETTE</t>
  </si>
  <si>
    <t xml:space="preserve"> CABANE CAP FERRET</t>
  </si>
  <si>
    <t>KAES</t>
  </si>
  <si>
    <t>ANNE</t>
  </si>
  <si>
    <t>METZ</t>
  </si>
  <si>
    <t>ABRY</t>
  </si>
  <si>
    <t>PATRICK</t>
  </si>
  <si>
    <t xml:space="preserve"> LEU DIT LEZAU POULDREUZIC</t>
  </si>
  <si>
    <t>LE CHAT PEAN</t>
  </si>
  <si>
    <t>MARIE CLAIRE</t>
  </si>
  <si>
    <t>CONCARNEAU</t>
  </si>
  <si>
    <t>SUIRE</t>
  </si>
  <si>
    <t>MARILYN</t>
  </si>
  <si>
    <t>LE TREVAUX</t>
  </si>
  <si>
    <t>PARENTON</t>
  </si>
  <si>
    <t xml:space="preserve">MARIE ANGE </t>
  </si>
  <si>
    <t>LE DOZE</t>
  </si>
  <si>
    <t>Coutant</t>
  </si>
  <si>
    <t>Denis</t>
  </si>
  <si>
    <t xml:space="preserve">Thomas </t>
  </si>
  <si>
    <t>Hugo</t>
  </si>
  <si>
    <t>hugo.thomas@sienna-im.com</t>
  </si>
  <si>
    <t>RUE CAIL</t>
  </si>
  <si>
    <t>Vendages</t>
  </si>
  <si>
    <t>Cadeau</t>
  </si>
  <si>
    <t>AGENCE LAGUILLON</t>
  </si>
  <si>
    <t>ville@agence-laguillon.com</t>
  </si>
  <si>
    <t>14 RUE DU PORT</t>
  </si>
  <si>
    <t>Laurent</t>
  </si>
  <si>
    <t>Marrié</t>
  </si>
  <si>
    <t>Anael</t>
  </si>
  <si>
    <t xml:space="preserve">Alixane </t>
  </si>
  <si>
    <t>Bouhours</t>
  </si>
  <si>
    <t xml:space="preserve">Guillaume </t>
  </si>
  <si>
    <t>guillaume.gintrand@sauvegarde51.fr</t>
  </si>
  <si>
    <t>8 RUE HENRIE MARTIN</t>
  </si>
  <si>
    <t xml:space="preserve">Simon </t>
  </si>
  <si>
    <t xml:space="preserve">Gintrand </t>
  </si>
  <si>
    <t>REIMS</t>
  </si>
  <si>
    <t>RESTAURANT INATTENDU</t>
  </si>
  <si>
    <t>Emilien Rouable</t>
  </si>
  <si>
    <t>36 Rue du general leclerc</t>
  </si>
  <si>
    <t>VILLECRESNES</t>
  </si>
  <si>
    <t>MARYSE</t>
  </si>
  <si>
    <t>DELMAS</t>
  </si>
  <si>
    <t>CEDRIC</t>
  </si>
  <si>
    <t>JAUNET</t>
  </si>
  <si>
    <t>EMMERAINVILLE</t>
  </si>
  <si>
    <t>MARIE ANNE</t>
  </si>
  <si>
    <t>BEAU</t>
  </si>
  <si>
    <t>ST AVOLD</t>
  </si>
  <si>
    <t>JACQUELINE</t>
  </si>
  <si>
    <t>HALLINGER</t>
  </si>
  <si>
    <t>CARLING</t>
  </si>
  <si>
    <t>MAXIME</t>
  </si>
  <si>
    <t>BERDOU</t>
  </si>
  <si>
    <t>ST JEAN DE LUZ</t>
  </si>
  <si>
    <t>JEAN  CHRISTOPHE</t>
  </si>
  <si>
    <t>GONDRE</t>
  </si>
  <si>
    <t xml:space="preserve">230 MONTEE ST BARDOUX </t>
  </si>
  <si>
    <t>FABIENNE</t>
  </si>
  <si>
    <t>DUFOUR</t>
  </si>
  <si>
    <t>LYDIA</t>
  </si>
  <si>
    <t>MANFREDI</t>
  </si>
  <si>
    <t>docteur RENZO</t>
  </si>
  <si>
    <t>CENTRE MEDICO CHIRURGICAL GASTON METIVET 48 RUE ALSACE LORRAINE</t>
  </si>
  <si>
    <t>SAINT-MAUR-DES-FOSSES</t>
  </si>
  <si>
    <t>ZUPPINGER</t>
  </si>
  <si>
    <t>SEJOURNE</t>
  </si>
  <si>
    <t>Thaîs</t>
  </si>
  <si>
    <t>DE MAUPEOU</t>
  </si>
  <si>
    <t>Jeremie</t>
  </si>
  <si>
    <t>Locquet</t>
  </si>
  <si>
    <t>MARIE-SOPHIE</t>
  </si>
  <si>
    <t>DELFINI</t>
  </si>
  <si>
    <t>msophie.delphini@icloud.com</t>
  </si>
  <si>
    <t>2rue tournon</t>
  </si>
  <si>
    <t>Eleonore</t>
  </si>
  <si>
    <t>Besson</t>
  </si>
  <si>
    <t xml:space="preserve">Benedicte </t>
  </si>
  <si>
    <t>Dumant</t>
  </si>
  <si>
    <t>SARAH</t>
  </si>
  <si>
    <t xml:space="preserve">BERTHOLON </t>
  </si>
  <si>
    <t>MARIE CAPUCINE</t>
  </si>
  <si>
    <t>GOUBE</t>
  </si>
  <si>
    <t>mcapucine.goube@gmail.com</t>
  </si>
  <si>
    <t>Chemin Parlementia</t>
  </si>
  <si>
    <t>BIDART</t>
  </si>
  <si>
    <t>Philippine</t>
  </si>
  <si>
    <t>Barnerias</t>
  </si>
  <si>
    <t>philippine.barnerias@gmail.com</t>
  </si>
  <si>
    <t>23rue Raymond Bordier</t>
  </si>
  <si>
    <t>Louise</t>
  </si>
  <si>
    <t>Pichou</t>
  </si>
  <si>
    <t>SN LAGUT</t>
  </si>
  <si>
    <t>CHANTEMERLE LES BLES</t>
  </si>
  <si>
    <t>ZICCA</t>
  </si>
  <si>
    <t>PAOLA</t>
  </si>
  <si>
    <t>VIA GIALETTO</t>
  </si>
  <si>
    <t>NUORO SARDEGNA</t>
  </si>
  <si>
    <t>CIREDDU</t>
  </si>
  <si>
    <t>NICOLA</t>
  </si>
  <si>
    <t>cireddu.nicola@gmail.com</t>
  </si>
  <si>
    <t>SAN VITO</t>
  </si>
  <si>
    <t>VITTORIA</t>
  </si>
  <si>
    <t xml:space="preserve">VIA CHIESA </t>
  </si>
  <si>
    <t>SERGIO</t>
  </si>
  <si>
    <t>VIA MARTINI</t>
  </si>
  <si>
    <t>DEBORA</t>
  </si>
  <si>
    <t>VIA NAZIONALE</t>
  </si>
  <si>
    <t>PICCONI</t>
  </si>
  <si>
    <t>LAURA</t>
  </si>
  <si>
    <t>JACKIE</t>
  </si>
  <si>
    <t>55 RUE DES HAIES</t>
  </si>
  <si>
    <t>GERMAINE</t>
  </si>
  <si>
    <t>Bocock</t>
  </si>
  <si>
    <t xml:space="preserve">Tony </t>
  </si>
  <si>
    <t>tbocock@icloud.com</t>
  </si>
  <si>
    <t>3 rue Jeanne d’Arc</t>
  </si>
  <si>
    <t>Melun</t>
  </si>
  <si>
    <t>WEBER</t>
  </si>
  <si>
    <t>MARC</t>
  </si>
  <si>
    <t>weber.marc@hotmail.fr</t>
  </si>
  <si>
    <t>10 Lottissement Muntcho</t>
  </si>
  <si>
    <t>ASCAIN</t>
  </si>
  <si>
    <t>PAQUIN</t>
  </si>
  <si>
    <t>SEVERINE</t>
  </si>
  <si>
    <t>6 Allee de la grande prairie</t>
  </si>
  <si>
    <t>EMERAINVILLE</t>
  </si>
  <si>
    <t>ANEDDA</t>
  </si>
  <si>
    <t>ROBERTO</t>
  </si>
  <si>
    <t>MURAVERA</t>
  </si>
  <si>
    <t>FORGET</t>
  </si>
  <si>
    <t>CLAUDE</t>
  </si>
  <si>
    <t xml:space="preserve">KOPSTAL </t>
  </si>
  <si>
    <t>MASCARELLO</t>
  </si>
  <si>
    <t>MARIA TERESA</t>
  </si>
  <si>
    <t>BAROLO</t>
  </si>
  <si>
    <t>DE SAINT PRIEST</t>
  </si>
  <si>
    <t>THIBAULT</t>
  </si>
  <si>
    <t>thibault.desaintpriest@sienna-im.com</t>
  </si>
  <si>
    <t>21 KERGUEREC</t>
  </si>
  <si>
    <t>LOCMARIAQUER</t>
  </si>
  <si>
    <t>PATIES</t>
  </si>
  <si>
    <t>REMI</t>
  </si>
  <si>
    <t xml:space="preserve"> CHARLEVILLE MEZIERE</t>
  </si>
  <si>
    <t>CARRE</t>
  </si>
  <si>
    <t>JULIE</t>
  </si>
  <si>
    <t>tccotedesblancs@wanadoo.fr</t>
  </si>
  <si>
    <t>ferdinand moret</t>
  </si>
  <si>
    <t>CRAMANT</t>
  </si>
  <si>
    <t>DEBBIE</t>
  </si>
  <si>
    <t>AIRBNB</t>
  </si>
  <si>
    <t>ANGLETERRE</t>
  </si>
  <si>
    <t>GABRIELLE</t>
  </si>
  <si>
    <t>CHAKROUN</t>
  </si>
  <si>
    <t>YOUNES</t>
  </si>
  <si>
    <t>younes.chakroun@sienna-im.com</t>
  </si>
  <si>
    <t>LEROUX</t>
  </si>
  <si>
    <t>PIERRE</t>
  </si>
  <si>
    <t>pierre.leroux@sienna-im.com</t>
  </si>
  <si>
    <t>ELISSALDE</t>
  </si>
  <si>
    <t>isabelle.elissalde@yahoo.fr</t>
  </si>
  <si>
    <t>376 CHEMIN ARRAKOTENEA</t>
  </si>
  <si>
    <t>AHETZE</t>
  </si>
  <si>
    <t>CROCHET</t>
  </si>
  <si>
    <t>patrick.crochet@orange.fr</t>
  </si>
  <si>
    <t>GUILLAUME</t>
  </si>
  <si>
    <t>55BIS RUE HAIES</t>
  </si>
  <si>
    <t>CHRISTINE</t>
  </si>
  <si>
    <t>abrychris@orange.fr</t>
  </si>
  <si>
    <t>lieu dit  Lezau</t>
  </si>
  <si>
    <t>POULDREUZIC</t>
  </si>
  <si>
    <t>BLIN</t>
  </si>
  <si>
    <t>16 RUE DES DEPORTES</t>
  </si>
  <si>
    <t>BOISVILLE LA SAINT PERE</t>
  </si>
  <si>
    <t>SCHMITT</t>
  </si>
  <si>
    <t>VICTOIRE</t>
  </si>
  <si>
    <t>victoire.schmitt1@gmail.com</t>
  </si>
  <si>
    <t>68 Boulevard du marechal Lyautey</t>
  </si>
  <si>
    <t>LE BOUSCAT</t>
  </si>
  <si>
    <t>TRILLOT</t>
  </si>
  <si>
    <t>CHRITOPHE</t>
  </si>
  <si>
    <t>christophe@trillot.fr</t>
  </si>
  <si>
    <t>3 SQUARE MONSELET</t>
  </si>
  <si>
    <t>COURBEVOIX</t>
  </si>
  <si>
    <t>PASSA</t>
  </si>
  <si>
    <t>camille33.bellon@gmail.com</t>
  </si>
  <si>
    <t>5 AVENUE DU BASSIN</t>
  </si>
  <si>
    <t>CAP FERRET</t>
  </si>
  <si>
    <t xml:space="preserve">INSTITUT DU SPO OLIVIER SELVA </t>
  </si>
  <si>
    <t>SCM MEDICALE</t>
  </si>
  <si>
    <t>10 AVENUE DU 29 AOUT 1944</t>
  </si>
  <si>
    <t>TINQUEUX</t>
  </si>
  <si>
    <t>LEFORT</t>
  </si>
  <si>
    <t>78 RUE DE RIMBIEZ</t>
  </si>
  <si>
    <t>HABAY BELGIQUE</t>
  </si>
  <si>
    <t>ACRES</t>
  </si>
  <si>
    <t>DANIEL</t>
  </si>
  <si>
    <t>dan.acres@gmail.com</t>
  </si>
  <si>
    <t>16 VIA POGGIARDELLI</t>
  </si>
  <si>
    <t>MONTEOULCIANO</t>
  </si>
  <si>
    <t>39 3445017128</t>
  </si>
  <si>
    <t xml:space="preserve">LOVINE </t>
  </si>
  <si>
    <t>MICHEL</t>
  </si>
  <si>
    <t>ST VALLIER</t>
  </si>
  <si>
    <t>AVRIL</t>
  </si>
  <si>
    <t>SOPHIE</t>
  </si>
  <si>
    <t>SOLENE</t>
  </si>
  <si>
    <t>solenne.letienne@gmail.com</t>
  </si>
  <si>
    <t>80 RUE DE LA TOUR DE CLUZE</t>
  </si>
  <si>
    <t>ST MARTIN DE LA CLUZE</t>
  </si>
  <si>
    <t>REMY</t>
  </si>
  <si>
    <t>BANGRATZ</t>
  </si>
  <si>
    <t>THOMAS</t>
  </si>
  <si>
    <t>tbangratz@gmail.com</t>
  </si>
  <si>
    <t>16 RUE DE L ECLUSE</t>
  </si>
  <si>
    <t>Etienne</t>
  </si>
  <si>
    <t>Bazin</t>
  </si>
  <si>
    <t>NOYARD</t>
  </si>
  <si>
    <t>PHILIPPE</t>
  </si>
  <si>
    <t>philippe.noyard@hotmail.com</t>
  </si>
  <si>
    <t>12rue lejemptel</t>
  </si>
  <si>
    <t>VINCENNES</t>
  </si>
  <si>
    <t>WOUT</t>
  </si>
  <si>
    <t>AIBNB</t>
  </si>
  <si>
    <t>BELLON</t>
  </si>
  <si>
    <t>CAMILLE</t>
  </si>
  <si>
    <t>5 AV DU BASSIN</t>
  </si>
  <si>
    <t>LE CAP FERRET</t>
  </si>
  <si>
    <t>AZDINE</t>
  </si>
  <si>
    <t>QUARD</t>
  </si>
  <si>
    <t>22 RUE LOUIS EMILE DE LA TOUR</t>
  </si>
  <si>
    <t>FLORENCE</t>
  </si>
  <si>
    <t>DAMIEN</t>
  </si>
  <si>
    <t>m</t>
  </si>
  <si>
    <t>DOCTEUR LEVERRIER</t>
  </si>
  <si>
    <t>36 RUR ARISTIDE BRIAND</t>
  </si>
  <si>
    <t>77160 PROVIN</t>
  </si>
  <si>
    <t>FOURCART CAROLINE</t>
  </si>
  <si>
    <t>5 RUE BATAILLE</t>
  </si>
  <si>
    <t>SARL CHAUFFE BOIS</t>
  </si>
  <si>
    <t>LE LUXEMBOURG</t>
  </si>
  <si>
    <t>VAUDOY-EN- BRIE</t>
  </si>
  <si>
    <t>BRASSEUR</t>
  </si>
  <si>
    <t>FISCHER</t>
  </si>
  <si>
    <t>JEAN- MARC</t>
  </si>
  <si>
    <t>jmfischer@noos.fr</t>
  </si>
  <si>
    <t>20 rue Henri Regnault</t>
  </si>
  <si>
    <t>92310 SEVRES</t>
  </si>
  <si>
    <t>BLANG</t>
  </si>
  <si>
    <t>CAROLINE ET JEAN MICHEL</t>
  </si>
  <si>
    <t>caroline-omael@orange.fr</t>
  </si>
  <si>
    <t>9 RUE LES  PLATANES</t>
  </si>
  <si>
    <t>34230 CAMPAGNAN</t>
  </si>
  <si>
    <t>N?8M</t>
  </si>
  <si>
    <t>Nom  Client</t>
  </si>
  <si>
    <t>NB Selection</t>
  </si>
  <si>
    <t>NB Rosé</t>
  </si>
  <si>
    <t>Nb blanc de blan</t>
  </si>
  <si>
    <t>Nb Prestige</t>
  </si>
  <si>
    <t>Magnum Selection</t>
  </si>
  <si>
    <t>Montant TTC bouteilles</t>
  </si>
  <si>
    <t>Montant HT</t>
  </si>
  <si>
    <t>Date de facturation</t>
  </si>
  <si>
    <t>Etat paiement</t>
  </si>
  <si>
    <t>Etat Commande</t>
  </si>
  <si>
    <t xml:space="preserve">paiement </t>
  </si>
  <si>
    <t>commentaire</t>
  </si>
  <si>
    <t>Prix Transport TTC</t>
  </si>
  <si>
    <t>Statistiques</t>
  </si>
  <si>
    <t>Prix unitaire TTC</t>
  </si>
  <si>
    <t>Léo Carouge</t>
  </si>
  <si>
    <t>Sélection</t>
  </si>
  <si>
    <t xml:space="preserve">James Carouge </t>
  </si>
  <si>
    <t>Livrer</t>
  </si>
  <si>
    <t xml:space="preserve">CONSO </t>
  </si>
  <si>
    <t>Rosé</t>
  </si>
  <si>
    <t>Blanc de blanc</t>
  </si>
  <si>
    <t>CONSO SARDAIGNE</t>
  </si>
  <si>
    <t>Prestige</t>
  </si>
  <si>
    <t>CHRISTINE ABRY</t>
  </si>
  <si>
    <t>Payé</t>
  </si>
  <si>
    <t>LIVRASON</t>
  </si>
  <si>
    <t>Magnum Brut Selection</t>
  </si>
  <si>
    <t>Aymeric Chataigner</t>
  </si>
  <si>
    <t>Nb bouteilles vendues</t>
  </si>
  <si>
    <t>MARC WEBER</t>
  </si>
  <si>
    <t>LIVRAISON</t>
  </si>
  <si>
    <t xml:space="preserve"> ANN SILVANO ET SARDAIGNE</t>
  </si>
  <si>
    <t>Chiffre d'affaire</t>
  </si>
  <si>
    <t>THOMAS BANGRATZ</t>
  </si>
  <si>
    <t>COLLEGUE LEO VIREMENT</t>
  </si>
  <si>
    <t>PHILIPPE NOYARD</t>
  </si>
  <si>
    <t>A habiller</t>
  </si>
  <si>
    <t>MARIAGE CADO 1 ROSE</t>
  </si>
  <si>
    <t xml:space="preserve">Jacques Girard </t>
  </si>
  <si>
    <t>TRANSPORTER GINTRAND</t>
  </si>
  <si>
    <t>Philippe  Gintrand</t>
  </si>
  <si>
    <t>En attente de paiement</t>
  </si>
  <si>
    <t>DEPOT</t>
  </si>
  <si>
    <t>Regis Paquin</t>
  </si>
  <si>
    <t>TRANSPORT GRATUIT</t>
  </si>
  <si>
    <t>VICTOIRE SCHMITT</t>
  </si>
  <si>
    <t>Habillé</t>
  </si>
  <si>
    <t>TRANPORT GRATUIT VIREMENT</t>
  </si>
  <si>
    <t>CAMILLE BELLON</t>
  </si>
  <si>
    <t>MARIAGE CAP FERET</t>
  </si>
  <si>
    <t>Nino Carouge</t>
  </si>
  <si>
    <t>MEMERE SARDAIGNE</t>
  </si>
  <si>
    <t xml:space="preserve">Philémon Parent </t>
  </si>
  <si>
    <t>ESPECE</t>
  </si>
  <si>
    <t xml:space="preserve"> AIRBNB</t>
  </si>
  <si>
    <t>DANIEL ACRES</t>
  </si>
  <si>
    <t>BORDEAUX TRANP GRATUIT</t>
  </si>
  <si>
    <t>VIREMENT</t>
  </si>
  <si>
    <t>Jac/dan Bouilot</t>
  </si>
  <si>
    <t>DEPOT SARDAIGNE</t>
  </si>
  <si>
    <t xml:space="preserve">DEPOT SARDAIGNE </t>
  </si>
  <si>
    <t>SEVERINE PAQUIN</t>
  </si>
  <si>
    <t>SEVERINE 3 BLC DE BLCS</t>
  </si>
  <si>
    <t>VENDANGEURS</t>
  </si>
  <si>
    <t>PAOLA ZICCA</t>
  </si>
  <si>
    <t>ESPECE/ITALIE</t>
  </si>
  <si>
    <t>SERGIO ZICCA</t>
  </si>
  <si>
    <t>ESPECE/ ITALIE</t>
  </si>
  <si>
    <t>QUARD AZDINE</t>
  </si>
  <si>
    <t>50 LIVRAISON VIREMENT</t>
  </si>
  <si>
    <t xml:space="preserve"> LIVRAISON 70   ITALIE</t>
  </si>
  <si>
    <t xml:space="preserve">FLORENCE </t>
  </si>
  <si>
    <t>6 JOELLE REGLE 18 PAQUIN</t>
  </si>
  <si>
    <t xml:space="preserve">Hugo Thomas </t>
  </si>
  <si>
    <t>transport 63,33</t>
  </si>
  <si>
    <t>1 BLC// 1 2010</t>
  </si>
  <si>
    <t>Gregory Cireddu</t>
  </si>
  <si>
    <t xml:space="preserve"> DAMIEN</t>
  </si>
  <si>
    <t>ESPECES</t>
  </si>
  <si>
    <t xml:space="preserve"> DOCTEUR LEVERRIER</t>
  </si>
  <si>
    <t>CHEQUE</t>
  </si>
  <si>
    <t xml:space="preserve"> BRASSEUR</t>
  </si>
  <si>
    <t xml:space="preserve"> FOURCART CAROLINE</t>
  </si>
  <si>
    <t xml:space="preserve"> SARL CHAUFFE BOIS</t>
  </si>
  <si>
    <t>105 LIVRAISON</t>
  </si>
  <si>
    <t>BASTIEN LASSER</t>
  </si>
  <si>
    <t>LIVRAISON 2 VIREMENTS</t>
  </si>
  <si>
    <t>JEAN- MARC FISCHER</t>
  </si>
  <si>
    <t xml:space="preserve">LIVRAISON </t>
  </si>
  <si>
    <t>CAROLINE ET JEAN MICHEL BLANG</t>
  </si>
  <si>
    <t>LIVRAISON GRATUITE</t>
  </si>
  <si>
    <t>FIN D ANNEE ET CONSO</t>
  </si>
  <si>
    <t xml:space="preserve"> NOEL ANNIVERSAIRE</t>
  </si>
  <si>
    <t>SARAH BLIN</t>
  </si>
  <si>
    <t>Paul Briest</t>
  </si>
  <si>
    <t>CHAMPAGNE CAROUGE CIREDDU</t>
  </si>
  <si>
    <t>S</t>
  </si>
  <si>
    <t>Nom</t>
  </si>
  <si>
    <t>Adresse e-mail</t>
  </si>
  <si>
    <t>Contenance</t>
  </si>
  <si>
    <t>Designation</t>
  </si>
  <si>
    <t>Qté</t>
  </si>
  <si>
    <t>Montant TTC</t>
  </si>
  <si>
    <t>Total HT</t>
  </si>
  <si>
    <t>TVA (20%)</t>
  </si>
  <si>
    <t>Total TTC</t>
  </si>
  <si>
    <t>Toute somme impayée à son échéance produira, de plein droit et sans mise en demeure, un intérêt égal à 1,5 fois le taux d'intérêt légal par mois de retard.
 Nos conditions de vente ne prévoient pas d'escompte pour paiement anticipé.
 Coordonnées bancaires
 Titulaire du compte : JAMES CAROUGE
 IBAN FR76 1020 6000 4848 3510 3712 067 
 BIC  AGRIFRPP802</t>
  </si>
  <si>
    <t>CHAMPAGNE CAROUGE CIREDDU
 6 rue de l'eglise 51190 FLAVIGNY
Tel : 06 77 95 90 62
 SIRET 843 516 642 00017
 N° TVA intracommunautaire FR67 843 516 642</t>
  </si>
  <si>
    <t>numéro de facturation</t>
  </si>
  <si>
    <t>Prix unitaire HT</t>
  </si>
  <si>
    <t xml:space="preserve">JACKIE Guillaume </t>
  </si>
  <si>
    <t>REGLE</t>
  </si>
  <si>
    <t>CADEAU 1 ROSE</t>
  </si>
  <si>
    <t>CONSO MAISON</t>
  </si>
  <si>
    <t>LIVRAISON EN SUP</t>
  </si>
  <si>
    <t>GILLES PITOIS</t>
  </si>
  <si>
    <t>livraison 120</t>
  </si>
  <si>
    <t>CHRITOPHE TRILLOT</t>
  </si>
  <si>
    <t>MARIAGE</t>
  </si>
  <si>
    <t>cheque</t>
  </si>
  <si>
    <t xml:space="preserve"> CONSO CADEAU </t>
  </si>
  <si>
    <t xml:space="preserve">Gintrand  Simon </t>
  </si>
  <si>
    <t>ISABELLE PASSA</t>
  </si>
  <si>
    <t>LIVRAISON 59,20 EN CHEQUE</t>
  </si>
  <si>
    <t xml:space="preserve">SCM MEDICALE INSTITUT DU SPO OLIVIER SELVA </t>
  </si>
  <si>
    <t xml:space="preserve"> AGENCE LAGUILLON</t>
  </si>
  <si>
    <t>NICOLA CIREDDU</t>
  </si>
  <si>
    <t>SARDAIGNE</t>
  </si>
  <si>
    <t>GIRARD  528 EUROS 12 BLC 18 SELEC</t>
  </si>
  <si>
    <t>MARC LEFORT</t>
  </si>
  <si>
    <t>cireddu camille</t>
  </si>
  <si>
    <t>FRANCESCA 3 BTL 51 VIREMT</t>
  </si>
  <si>
    <t>Cadeau Vendages</t>
  </si>
  <si>
    <t xml:space="preserve"> Sarha</t>
  </si>
  <si>
    <t>6 +2BTL FACT 25 VIREMT</t>
  </si>
  <si>
    <t>ENJY</t>
  </si>
  <si>
    <t>Stanislas BOUTMY</t>
  </si>
  <si>
    <t>A facturer</t>
  </si>
  <si>
    <t>Bazin Etienne</t>
  </si>
  <si>
    <t>CADEAU LEO</t>
  </si>
  <si>
    <t xml:space="preserve">ZACHARIE Fassaert </t>
  </si>
  <si>
    <t>2 CADEAU VIREMENT</t>
  </si>
  <si>
    <t>ANNIV ZAK</t>
  </si>
  <si>
    <t xml:space="preserve">DEGUSTATION </t>
  </si>
  <si>
    <t>ITALIE HT</t>
  </si>
  <si>
    <t>SARDAIGNE CONSO</t>
  </si>
  <si>
    <t>ST VALLIER DEPOT</t>
  </si>
  <si>
    <t>STOCK</t>
  </si>
  <si>
    <t xml:space="preserve">MICHEL LOVINE </t>
  </si>
  <si>
    <t>1 PRESTIGE CADEAU</t>
  </si>
  <si>
    <t>GONDRE JEAN  CHRISTOPHE</t>
  </si>
  <si>
    <t>AVRIL SOPHIE</t>
  </si>
  <si>
    <t>ST VALLIER 6 CADEAU</t>
  </si>
  <si>
    <t>PATRICK ABRY</t>
  </si>
  <si>
    <t>PLUS LIVRAISON</t>
  </si>
  <si>
    <t>GRATUITE</t>
  </si>
  <si>
    <t>ABRY SOLENE</t>
  </si>
  <si>
    <t>XANTI BILBAO</t>
  </si>
  <si>
    <t xml:space="preserve">Virement </t>
  </si>
  <si>
    <t>1 ROSE CADEAU</t>
  </si>
  <si>
    <t xml:space="preserve"> REMY</t>
  </si>
  <si>
    <t xml:space="preserve">                                                         </t>
  </si>
  <si>
    <t xml:space="preserve"> </t>
  </si>
  <si>
    <t xml:space="preserve"> Karine GATE</t>
  </si>
  <si>
    <t>ATT</t>
  </si>
  <si>
    <t>CAve Leo</t>
  </si>
  <si>
    <t>SORTIE EN DRM</t>
  </si>
  <si>
    <t>LEO FISHER</t>
  </si>
  <si>
    <t>VIREMENT 14/03</t>
  </si>
  <si>
    <t>DEPOSER PAR NINO</t>
  </si>
  <si>
    <t>HUGO LANDRIEU</t>
  </si>
  <si>
    <t>VIREMENT 1 /03</t>
  </si>
  <si>
    <t>VIREMENT 1 OCTOBRE</t>
  </si>
  <si>
    <t>ANNE KAES</t>
  </si>
  <si>
    <t>DEPOT ISA  2021</t>
  </si>
  <si>
    <t>livraison 195,60 A leur frais 98</t>
  </si>
  <si>
    <t>H TAXE ERREUR</t>
  </si>
  <si>
    <t>ROBERTO ANEDDA</t>
  </si>
  <si>
    <t>DEGUSTATION</t>
  </si>
  <si>
    <t>ATELIER DEL VINO</t>
  </si>
  <si>
    <t>SUR Depot st vallier</t>
  </si>
  <si>
    <t>Tony  Bocock</t>
  </si>
  <si>
    <t>REPRISE MAISON</t>
  </si>
  <si>
    <t>CADEAU ET DEGUSTATION</t>
  </si>
  <si>
    <t>1 SEL SANS CRD</t>
  </si>
  <si>
    <t>CLAUDE FORGET</t>
  </si>
  <si>
    <t>VIRT NEMO 225</t>
  </si>
  <si>
    <t>DEPOT ST VALLIER</t>
  </si>
  <si>
    <t>MARIA TERESA MASCARELLO</t>
  </si>
  <si>
    <t>THIBAULT DE SAINT PRIEST</t>
  </si>
  <si>
    <t>PLUS LIVRAISQON</t>
  </si>
  <si>
    <t>VIREMENT 27/02</t>
  </si>
  <si>
    <t>1 ROSE CADEAUX</t>
  </si>
  <si>
    <t>REMI PATIES</t>
  </si>
  <si>
    <t>102 ESPESCE</t>
  </si>
  <si>
    <t>VIRT 213</t>
  </si>
  <si>
    <t>virement le 17/01</t>
  </si>
  <si>
    <t>DEGUST</t>
  </si>
  <si>
    <t>SANS  CRD</t>
  </si>
  <si>
    <t>AVEC CRD</t>
  </si>
  <si>
    <t>sardaigne</t>
  </si>
  <si>
    <t>avec crd</t>
  </si>
  <si>
    <t>VIREMENT LE 17/01</t>
  </si>
  <si>
    <t>NOUS MEME</t>
  </si>
  <si>
    <t>virement</t>
  </si>
  <si>
    <t>DEPOT LEO</t>
  </si>
  <si>
    <t>VENDANGES</t>
  </si>
  <si>
    <t xml:space="preserve"> LYDIA</t>
  </si>
  <si>
    <t xml:space="preserve">VIREMENT 40 </t>
  </si>
  <si>
    <t xml:space="preserve"> DEBBIE</t>
  </si>
  <si>
    <t xml:space="preserve">VIREMENT </t>
  </si>
  <si>
    <t>ANN CHLOE</t>
  </si>
  <si>
    <t>cadeau</t>
  </si>
  <si>
    <t>conso Anniv</t>
  </si>
  <si>
    <t>JOELLE DUBARBIER</t>
  </si>
  <si>
    <t>VIREMENT 12/2024</t>
  </si>
  <si>
    <t>AVEC TRANSPORT</t>
  </si>
  <si>
    <t>31/11/2023</t>
  </si>
  <si>
    <t>TRANSPORT 65TTC</t>
  </si>
  <si>
    <t>Chèque 4 le 07/12</t>
  </si>
  <si>
    <t>YOUNES CHAKROUN</t>
  </si>
  <si>
    <t>VIREMENT LEO 09/12</t>
  </si>
  <si>
    <t>CHEZ LEO</t>
  </si>
  <si>
    <t>VIREMENT LE 11/01</t>
  </si>
  <si>
    <t>06/12 VIREMENT</t>
  </si>
  <si>
    <t>CHEZ LUI</t>
  </si>
  <si>
    <t>PIERRE LEROUX</t>
  </si>
  <si>
    <t>ISABELLE ELISSALDE</t>
  </si>
  <si>
    <t xml:space="preserve">07/12 virement </t>
  </si>
  <si>
    <t>PATRICK CROCHET</t>
  </si>
  <si>
    <t xml:space="preserve">08/12 VIREMENT </t>
  </si>
  <si>
    <t>TRANPORT GRATUIT</t>
  </si>
  <si>
    <t xml:space="preserve"> 1 SEL AIRBNB</t>
  </si>
  <si>
    <t>JACKIE GUILLAUME</t>
  </si>
  <si>
    <t>23/121/2023</t>
  </si>
  <si>
    <t>19/</t>
  </si>
  <si>
    <t xml:space="preserve"> CONSO</t>
  </si>
  <si>
    <t xml:space="preserve">Gintrand Guillaume </t>
  </si>
  <si>
    <t xml:space="preserve"> VIREMENT  09/02</t>
  </si>
  <si>
    <t>SAUVEGARDE EPERNAY</t>
  </si>
  <si>
    <t>CHEQUE LE 05/07</t>
  </si>
  <si>
    <t>LIVRE GERMAINE PAR JAMES</t>
  </si>
  <si>
    <t>docteur RENZO MANFREDI</t>
  </si>
  <si>
    <t>DEPOT REGIS</t>
  </si>
  <si>
    <t xml:space="preserve"> ZUPPING</t>
  </si>
  <si>
    <t>ZUPPING VIREMENT</t>
  </si>
  <si>
    <t>DEPOT DUBARBIER DEJA SORTIE EN DRM</t>
  </si>
  <si>
    <t>SEJOURNE BASTIEN</t>
  </si>
  <si>
    <t>REGLEE 21/11/2022</t>
  </si>
  <si>
    <t>DE MAUPEOU Thaîs</t>
  </si>
  <si>
    <t>SORTIE DEPOT LEO</t>
  </si>
  <si>
    <t>Locquet Jeremie</t>
  </si>
  <si>
    <t>VIRE 10/2022</t>
  </si>
  <si>
    <t>Eric Soulhac</t>
  </si>
  <si>
    <t>SORTIE DEPOT  ST VALLIER</t>
  </si>
  <si>
    <t>PRIX 2021</t>
  </si>
  <si>
    <t>JAUNET CEDRIC</t>
  </si>
  <si>
    <t>SORTIE MAISON</t>
  </si>
  <si>
    <t xml:space="preserve">NINO </t>
  </si>
  <si>
    <t>DELFINI MARIE-SOPHIE</t>
  </si>
  <si>
    <t>MARIAGE PARIS</t>
  </si>
  <si>
    <t>REMISE 1EURO BOUTEILLE</t>
  </si>
  <si>
    <t>SORTIE DEPOT ISA</t>
  </si>
  <si>
    <t>sortie depot st vallier</t>
  </si>
  <si>
    <t>prix 2021</t>
  </si>
  <si>
    <t>Besson Eleonore</t>
  </si>
  <si>
    <t>Sortie dépôt leo</t>
  </si>
  <si>
    <t xml:space="preserve">Dumant Benedicte </t>
  </si>
  <si>
    <t>depot leo</t>
  </si>
  <si>
    <t>DEGUSTATION SUISSE</t>
  </si>
  <si>
    <t>PAR NINO</t>
  </si>
  <si>
    <t>GOUBE MARIE CAPUCINE</t>
  </si>
  <si>
    <t>FACTURE EN AOUT</t>
  </si>
  <si>
    <t>mariage avec remise</t>
  </si>
  <si>
    <t>nous</t>
  </si>
  <si>
    <t>Barnerias Philippine</t>
  </si>
  <si>
    <r>
      <rPr>
        <rFont val="Calibri"/>
        <color theme="1"/>
        <sz val="11.0"/>
      </rPr>
      <t xml:space="preserve">
</t>
    </r>
    <r>
      <rPr>
        <rFont val="Roboto"/>
        <color rgb="FF1155CC"/>
        <sz val="10.0"/>
      </rPr>
      <t>Activer</t>
    </r>
    <r>
      <rPr>
        <rFont val="Calibri"/>
        <color theme="1"/>
        <sz val="11.0"/>
      </rPr>
      <t xml:space="preserve">S
</t>
    </r>
  </si>
  <si>
    <t>CLAVERY ISABELLE</t>
  </si>
  <si>
    <t>BERTHOLON  SARAH</t>
  </si>
  <si>
    <t>Depot LEO</t>
  </si>
  <si>
    <t>DEPOT LEO PARIS</t>
  </si>
  <si>
    <t>Pichou Louise</t>
  </si>
  <si>
    <t>VIREMENT 12/2022</t>
  </si>
  <si>
    <t>DEPOT LEO BORDEAUX</t>
  </si>
  <si>
    <t>CONSO DEPOT</t>
  </si>
  <si>
    <t>DSA SARDAIGNE</t>
  </si>
  <si>
    <t>DEGUST ET CONSO SARDAIGNE</t>
  </si>
  <si>
    <t xml:space="preserve"> Garval /Amaral</t>
  </si>
  <si>
    <t xml:space="preserve">  </t>
  </si>
  <si>
    <t>MARIAGE CORSE AVEC REMISE</t>
  </si>
  <si>
    <t>LIVRAISON CORSE</t>
  </si>
  <si>
    <t>8/11 CHEQUE 503,69</t>
  </si>
  <si>
    <t xml:space="preserve">FRAIS LIVRAISON </t>
  </si>
  <si>
    <t>SUR DEPOT ST VALLIER</t>
  </si>
  <si>
    <t>CONSO DEGUST</t>
  </si>
  <si>
    <t xml:space="preserve"> CADEAU</t>
  </si>
  <si>
    <t>SUR DEPOT BORDEAUX 2021</t>
  </si>
  <si>
    <t xml:space="preserve"> K</t>
  </si>
  <si>
    <t>Espèce</t>
  </si>
  <si>
    <t>LIVRAISON SARDAIGNE</t>
  </si>
  <si>
    <t>2SEL 2BLC 2PRES 2ROSE</t>
  </si>
  <si>
    <t xml:space="preserve"> VITTORIA</t>
  </si>
  <si>
    <t xml:space="preserve"> LIVRAISON SARDAIGNE</t>
  </si>
  <si>
    <t xml:space="preserve">Espèce </t>
  </si>
  <si>
    <t>DEBORA CIREDDU</t>
  </si>
  <si>
    <t>DSA DEPOT DEGUST</t>
  </si>
  <si>
    <t>LAURA PICCONI</t>
  </si>
  <si>
    <t>15 MAG 6 SEL 12 ROSE</t>
  </si>
  <si>
    <t>Mariage</t>
  </si>
  <si>
    <t>cedric jaunet</t>
  </si>
  <si>
    <t>VIREMEN T</t>
  </si>
  <si>
    <t>SUR DEPOT 2021</t>
  </si>
  <si>
    <t>VIREMENT LE 27/02</t>
  </si>
  <si>
    <t>CAve LEo A Regler</t>
  </si>
  <si>
    <t>Emilien Rouable RESTAURANT INATTENDU</t>
  </si>
  <si>
    <t>VIREMENT 28/02/</t>
  </si>
  <si>
    <t xml:space="preserve"> VIREMENT  112</t>
  </si>
  <si>
    <t>DEPOT DUBARBIER</t>
  </si>
  <si>
    <t>Agnès marrié</t>
  </si>
  <si>
    <t xml:space="preserve"> DEPOT LEO PARIS</t>
  </si>
  <si>
    <t>MAISON</t>
  </si>
  <si>
    <t>22/121/2022</t>
  </si>
  <si>
    <t>KALINUR 1 SEL 1 ROSE</t>
  </si>
  <si>
    <t>Numero Facuration</t>
  </si>
  <si>
    <t>Pierre leclézio</t>
  </si>
  <si>
    <t>Facturé</t>
  </si>
  <si>
    <t>Livrée</t>
  </si>
  <si>
    <t>GAEL LAPEDAGNE</t>
  </si>
  <si>
    <t>espece</t>
  </si>
  <si>
    <t>Agnès Marrié</t>
  </si>
  <si>
    <t>Cxxxxcxx</t>
  </si>
  <si>
    <t>OIHAN MADARIAGA</t>
  </si>
  <si>
    <t>ACHILLE WOJTOWIC</t>
  </si>
  <si>
    <t xml:space="preserve">CHARLOTTE </t>
  </si>
  <si>
    <t>CHARLES POULHES</t>
  </si>
  <si>
    <t>ALEXANDRE SIMON</t>
  </si>
  <si>
    <t>GENTZA ETXABE</t>
  </si>
  <si>
    <t>Virement  128</t>
  </si>
  <si>
    <t>BIXENTE COTINA</t>
  </si>
  <si>
    <t>Règle ohian</t>
  </si>
  <si>
    <t>GABI AIZPURUA</t>
  </si>
  <si>
    <t>LAGUILLON CHRISTINE VIR</t>
  </si>
  <si>
    <t>JAIME MATESANZE</t>
  </si>
  <si>
    <t xml:space="preserve">Pascal  Fassaert </t>
  </si>
  <si>
    <t xml:space="preserve"> Gintrand</t>
  </si>
  <si>
    <t>EN attente</t>
  </si>
  <si>
    <t>REGLE AVEC PHILIPPE 26/05</t>
  </si>
  <si>
    <t xml:space="preserve">Dubois Jean-Louis </t>
  </si>
  <si>
    <t xml:space="preserve">Chèque </t>
  </si>
  <si>
    <t>Jacques Morel</t>
  </si>
  <si>
    <t>Cxxxxxx</t>
  </si>
  <si>
    <t>1 rose</t>
  </si>
  <si>
    <t>Xxxxxxxxx</t>
  </si>
  <si>
    <t>sans capsule anniversaire</t>
  </si>
  <si>
    <t>Cxxxxxxxx</t>
  </si>
  <si>
    <t>Benoit Meon</t>
  </si>
  <si>
    <t>Colegue Leo : 3cartons blancs et 1cartons rosés CARTONS</t>
  </si>
  <si>
    <t xml:space="preserve">Carouge Valerie </t>
  </si>
  <si>
    <t>Xxxxxxxx</t>
  </si>
  <si>
    <t>Fassaert Jeff</t>
  </si>
  <si>
    <t>Habillée</t>
  </si>
  <si>
    <t>sortie decembre</t>
  </si>
  <si>
    <t>Sortie janvier</t>
  </si>
  <si>
    <t>Sortie fevrier</t>
  </si>
  <si>
    <t>mars</t>
  </si>
  <si>
    <t>avril</t>
  </si>
  <si>
    <t>mai</t>
  </si>
  <si>
    <t>juin</t>
  </si>
  <si>
    <t>juillet</t>
  </si>
  <si>
    <t>aout</t>
  </si>
  <si>
    <t>Numero de facture</t>
  </si>
  <si>
    <t>Remise Exceptionnelle</t>
  </si>
  <si>
    <t>24 /01/2021</t>
  </si>
  <si>
    <t>nino conso paris</t>
  </si>
  <si>
    <t>DEPOT ISA</t>
  </si>
  <si>
    <t>viremrnt</t>
  </si>
  <si>
    <t xml:space="preserve"> DEPOPT ISA GREG ET 2 CADEAUX</t>
  </si>
  <si>
    <t>FISHER LEO</t>
  </si>
  <si>
    <t>LIVRER</t>
  </si>
  <si>
    <t>PARIS NINO</t>
  </si>
  <si>
    <t>SORTIE ST VALLIER</t>
  </si>
  <si>
    <t>gintrand</t>
  </si>
  <si>
    <t>depot paris</t>
  </si>
  <si>
    <t xml:space="preserve"> SORTIE DEPOT LEO</t>
  </si>
  <si>
    <t>LIVRE PAR LEO</t>
  </si>
  <si>
    <t>Pascal Ville</t>
  </si>
  <si>
    <t>GINTRAND</t>
  </si>
  <si>
    <t>JEAN MARTIN</t>
  </si>
  <si>
    <t xml:space="preserve">MICHELLE Fassaert </t>
  </si>
  <si>
    <t>Dépôt St vallier</t>
  </si>
  <si>
    <t>depot st jean dubarbier</t>
  </si>
  <si>
    <t>CONSO PARIS</t>
  </si>
  <si>
    <t>leo collegue</t>
  </si>
  <si>
    <t>Depot Leo 4 caisses roses</t>
  </si>
  <si>
    <t>Dépôt paris leo</t>
  </si>
  <si>
    <t>CADEAUX</t>
  </si>
  <si>
    <t>PLUS 1maison</t>
  </si>
  <si>
    <t xml:space="preserve">Valerie Franck Gautier </t>
  </si>
  <si>
    <t>reprise maison</t>
  </si>
  <si>
    <t>CHARLOTTE COUDRET</t>
  </si>
  <si>
    <t>amie dubarbier Farancoise</t>
  </si>
  <si>
    <t>Espece</t>
  </si>
  <si>
    <t xml:space="preserve">VIREMENT 80 EUROS </t>
  </si>
  <si>
    <t>depot gintrand</t>
  </si>
  <si>
    <t>LOVERGNE Sandre</t>
  </si>
  <si>
    <t>Dépôt leo</t>
  </si>
  <si>
    <t>Gauchet Lucile</t>
  </si>
  <si>
    <t>Conso</t>
  </si>
  <si>
    <t>nino conso</t>
  </si>
  <si>
    <t>14/04/0201</t>
  </si>
  <si>
    <t>Cheque</t>
  </si>
  <si>
    <t xml:space="preserve">Germaine </t>
  </si>
  <si>
    <t>Virement 10/09/2021</t>
  </si>
  <si>
    <t>,apporter par nino</t>
  </si>
  <si>
    <t xml:space="preserve">Dépôt Léo </t>
  </si>
  <si>
    <t xml:space="preserve">Conso </t>
  </si>
  <si>
    <t xml:space="preserve">CADEAU </t>
  </si>
  <si>
    <t>Conso maison</t>
  </si>
  <si>
    <t>depot// plus 1 Conso</t>
  </si>
  <si>
    <t>Aurelien Tracol</t>
  </si>
  <si>
    <t>LIVRER GERMAINE</t>
  </si>
  <si>
    <t>DEPOT GINTRAND MAI</t>
  </si>
  <si>
    <t>depot GINTRAND fevrier</t>
  </si>
  <si>
    <t>VIREMEnt</t>
  </si>
  <si>
    <t>DEPOT BEA MERY</t>
  </si>
  <si>
    <t>12 SELEC /6BLC DE BLCS</t>
  </si>
  <si>
    <t xml:space="preserve">Yannick Fassaert </t>
  </si>
  <si>
    <t>François Meon</t>
  </si>
  <si>
    <t xml:space="preserve">Par transporteur </t>
  </si>
  <si>
    <t xml:space="preserve"> Xantie</t>
  </si>
  <si>
    <t>/140 EUROS EN ESPECE</t>
  </si>
  <si>
    <t xml:space="preserve">virement </t>
  </si>
  <si>
    <t xml:space="preserve">Dépôt mery </t>
  </si>
  <si>
    <t>Dépôt st vallier mai</t>
  </si>
  <si>
    <t xml:space="preserve">Zimmermann Camille </t>
  </si>
  <si>
    <t>CONSO CADEAUX</t>
  </si>
  <si>
    <t>/CADEAU</t>
  </si>
  <si>
    <t>CADEAU CONSO</t>
  </si>
  <si>
    <t xml:space="preserve"> LEO DEPOT</t>
  </si>
  <si>
    <t>Benjamin Straubhaar</t>
  </si>
  <si>
    <t>LIVRE JAMES GERMAINE</t>
  </si>
  <si>
    <t>LIVRE A BORDEAUX</t>
  </si>
  <si>
    <t xml:space="preserve"> livrer bordeaux 4500 EUROS</t>
  </si>
  <si>
    <t>Alice Dubourdieu</t>
  </si>
  <si>
    <t>Fanny Surman</t>
  </si>
  <si>
    <t>Virement</t>
  </si>
  <si>
    <t>Daphne Morvan</t>
  </si>
  <si>
    <t>REGLE LE 28/10/2022</t>
  </si>
  <si>
    <t>VIR CHEQUE</t>
  </si>
  <si>
    <t>/SEYDOU 12 JUST ARNAUD 6</t>
  </si>
  <si>
    <t>Manon Juste Aguer</t>
  </si>
  <si>
    <t>LIVREER</t>
  </si>
  <si>
    <t xml:space="preserve"> JULIETTE</t>
  </si>
  <si>
    <t>CABANNE LEGE CAP FERRET</t>
  </si>
  <si>
    <t>DEPOT BORDEAUX</t>
  </si>
  <si>
    <t>PICHOU 12 SEL/ ISA 12 ROSE ESPECE</t>
  </si>
  <si>
    <t xml:space="preserve">SUR DEPOT ISA GREG </t>
  </si>
  <si>
    <t>BRETAGNE</t>
  </si>
  <si>
    <t>MARILYN SUIRE</t>
  </si>
  <si>
    <t>MARIE CLAIRE LE CHAT PEAN</t>
  </si>
  <si>
    <t>MARIE ANGE  PARENTON</t>
  </si>
  <si>
    <t>ANNE LE DOZE</t>
  </si>
  <si>
    <t>DEPOT ST VALLIER Simon Lea</t>
  </si>
  <si>
    <t>RESTE EN ESPECE REMISE A 14 euros</t>
  </si>
  <si>
    <t>Denis Coutant</t>
  </si>
  <si>
    <t>STOCK LEO</t>
  </si>
  <si>
    <t>LIVRERE EN PARTIE</t>
  </si>
  <si>
    <t>RESTE ALIVRER 32BLC 6 ROSE 6 SELEC</t>
  </si>
  <si>
    <t>CADEAUX VENDANGEURS</t>
  </si>
  <si>
    <t>Cadeau Vendangeurs</t>
  </si>
  <si>
    <t>Sortie de depot leo</t>
  </si>
  <si>
    <t>DEPOT BEA</t>
  </si>
  <si>
    <t>SORTI DE DEPOT BEA</t>
  </si>
  <si>
    <t>STOCK BEA TROYES</t>
  </si>
  <si>
    <t xml:space="preserve">SOLDE STOCK </t>
  </si>
  <si>
    <t>amie dubarbier Francoise</t>
  </si>
  <si>
    <t xml:space="preserve"> VIREMENT 68</t>
  </si>
  <si>
    <t>STOCK DUBARBIER</t>
  </si>
  <si>
    <t>STOCK ST VALLIER</t>
  </si>
  <si>
    <t>CRETE</t>
  </si>
  <si>
    <t>Marrié Laurent</t>
  </si>
  <si>
    <t xml:space="preserve"> Anael</t>
  </si>
  <si>
    <t xml:space="preserve">Bouhours Alixane </t>
  </si>
  <si>
    <t xml:space="preserve">LIVRER </t>
  </si>
  <si>
    <t>PRIVE PRO VIREMENT</t>
  </si>
  <si>
    <t xml:space="preserve">ROUABLE  EMILIEN </t>
  </si>
  <si>
    <t>DELMAS MARYSE</t>
  </si>
  <si>
    <t>HALLINGER JACQUELINE</t>
  </si>
  <si>
    <t>reprise maison 1 ROSE CADEAUX</t>
  </si>
  <si>
    <t>BEAU MARIE ANNE</t>
  </si>
  <si>
    <t>DEPOT ISA GREG</t>
  </si>
  <si>
    <t>DEPOT GINTRAND</t>
  </si>
  <si>
    <t>BERDOU MAXIME</t>
  </si>
  <si>
    <t>ESPECE NINO</t>
  </si>
  <si>
    <t>conso cadeaux</t>
  </si>
  <si>
    <t>VIREMENT 01:2022</t>
  </si>
  <si>
    <t>Depot Léo</t>
  </si>
  <si>
    <t>DUFOUR FABIENNE</t>
  </si>
  <si>
    <t>SUR DEPOT ISA</t>
  </si>
  <si>
    <t xml:space="preserve"> Sortie depot isa</t>
  </si>
  <si>
    <t>SORTIE DEPOT DUBARBIER</t>
  </si>
  <si>
    <t>SOLDE 11/2022</t>
  </si>
  <si>
    <t xml:space="preserve"> SN LAGUT</t>
  </si>
  <si>
    <t xml:space="preserve"> DEPOT GINTRAND  REGLE</t>
  </si>
  <si>
    <t>SORTIE STOCK GINTRAND</t>
  </si>
  <si>
    <t>Dégustation-Livraison</t>
  </si>
  <si>
    <t>SELECTION</t>
  </si>
  <si>
    <t>ROSE</t>
  </si>
  <si>
    <t>BLANC BLANC</t>
  </si>
  <si>
    <t>PRESTIGE</t>
  </si>
  <si>
    <t>CRD</t>
  </si>
  <si>
    <t>mois</t>
  </si>
  <si>
    <t>entree</t>
  </si>
  <si>
    <t>sortie</t>
  </si>
  <si>
    <t>stock civc</t>
  </si>
  <si>
    <t>conso</t>
  </si>
  <si>
    <t xml:space="preserve">stock maison </t>
  </si>
  <si>
    <t xml:space="preserve">conso </t>
  </si>
  <si>
    <t>stock</t>
  </si>
  <si>
    <t>SELEC</t>
  </si>
  <si>
    <t>BB</t>
  </si>
  <si>
    <t>CONSO PERSO</t>
  </si>
  <si>
    <t>LIEU DE STOCK</t>
  </si>
  <si>
    <t>entre</t>
  </si>
  <si>
    <t>sorti</t>
  </si>
  <si>
    <t>FASSAERT</t>
  </si>
  <si>
    <t>GREGORY</t>
  </si>
  <si>
    <t>,Morel Bea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</si>
</sst>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/M/YYYY"/>
    <numFmt numFmtId="166" formatCode="#,##0.00\ [$€-1]"/>
    <numFmt numFmtId="167" formatCode="d/m"/>
    <numFmt numFmtId="168" formatCode="dd/mm"/>
    <numFmt numFmtId="169" formatCode="d/m/yyyy"/>
    <numFmt numFmtId="170" formatCode="#,##0.00&quot;€&quot;"/>
    <numFmt numFmtId="171" formatCode="dd&quot;/&quot;mm"/>
  </numFmts>
  <fonts count="43">
    <font>
      <sz val="11.0"/>
      <color rgb="FF0F5666"/>
      <name val="Calibri"/>
      <scheme val="minor"/>
    </font>
    <font>
      <b/>
      <sz val="10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F5666"/>
      <name val="Calibri"/>
    </font>
    <font>
      <u/>
      <sz val="11.0"/>
      <color rgb="FF062229"/>
      <name val="Arial"/>
    </font>
    <font>
      <sz val="11.0"/>
      <color theme="1"/>
      <name val="Arial"/>
    </font>
    <font>
      <u/>
      <color rgb="FF4285F4"/>
      <name val="-apple-system"/>
    </font>
    <font>
      <color rgb="FF313131"/>
      <name val="-apple-system"/>
    </font>
    <font>
      <b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b/>
      <sz val="11.0"/>
      <color theme="1"/>
      <name val="Calibri"/>
    </font>
    <font>
      <sz val="11.0"/>
      <color rgb="FFFF00FF"/>
      <name val="Calibri"/>
    </font>
    <font>
      <sz val="11.0"/>
      <color rgb="FF9900FF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sz val="11.0"/>
      <color rgb="FF000000"/>
      <name val="Verdana"/>
    </font>
    <font>
      <b/>
      <sz val="18.0"/>
      <color theme="1"/>
      <name val="Verdana"/>
    </font>
    <font>
      <sz val="11.0"/>
      <color rgb="FF808080"/>
      <name val="Verdana"/>
    </font>
    <font>
      <sz val="12.0"/>
      <color rgb="FF000000"/>
      <name val="Verdana"/>
    </font>
    <font>
      <sz val="12.0"/>
      <color theme="1"/>
      <name val="Verdana"/>
    </font>
    <font>
      <b/>
      <sz val="12.0"/>
      <color theme="1"/>
      <name val="Verdana"/>
    </font>
    <font/>
    <font>
      <sz val="11.0"/>
      <color theme="1"/>
      <name val="Verdana"/>
    </font>
    <font>
      <b/>
      <sz val="16.0"/>
      <color theme="1"/>
      <name val="Verdana"/>
    </font>
    <font>
      <sz val="16.0"/>
      <color theme="1"/>
      <name val="Calibri"/>
    </font>
    <font>
      <sz val="16.0"/>
      <color rgb="FF000000"/>
      <name val="Verdana"/>
    </font>
    <font>
      <sz val="16.0"/>
      <color theme="1"/>
      <name val="Verdana"/>
    </font>
    <font>
      <sz val="14.0"/>
      <color theme="1"/>
      <name val="Calibri"/>
    </font>
    <font>
      <b/>
      <sz val="14.0"/>
      <color rgb="FF000000"/>
      <name val="Verdana"/>
    </font>
    <font>
      <sz val="14.0"/>
      <color rgb="FF000000"/>
      <name val="Verdana"/>
    </font>
    <font>
      <b/>
      <sz val="14.0"/>
      <color theme="1"/>
      <name val="Verdana"/>
    </font>
    <font>
      <b/>
      <sz val="12.0"/>
      <color rgb="FF000000"/>
      <name val="Inconsolata"/>
    </font>
    <font>
      <b/>
      <sz val="11.0"/>
      <color rgb="FF000000"/>
      <name val="Inconsolata"/>
    </font>
    <font>
      <b/>
      <sz val="11.0"/>
      <color theme="1"/>
      <name val="Verdana"/>
    </font>
    <font>
      <sz val="14.0"/>
      <color theme="1"/>
      <name val="Verdana"/>
    </font>
    <font>
      <i/>
      <sz val="11.0"/>
      <color theme="1"/>
      <name val="Verdana"/>
    </font>
    <font>
      <sz val="9.0"/>
      <color theme="1"/>
      <name val="Verdana"/>
    </font>
    <font>
      <u/>
      <sz val="16.0"/>
      <color rgb="FF000000"/>
      <name val="Verdana"/>
    </font>
    <font>
      <sz val="11.0"/>
      <color rgb="FF0F5666"/>
      <name val="Arial"/>
    </font>
    <font>
      <sz val="11.0"/>
      <color rgb="FF980000"/>
      <name val="Calibri"/>
    </font>
    <font>
      <sz val="11.0"/>
      <color rgb="FF0000FF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D2EDF4"/>
        <bgColor rgb="FFD2ED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</fills>
  <borders count="4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 style="thin">
        <color rgb="FF000000"/>
      </top>
    </border>
    <border>
      <right/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" fillId="3" fontId="10" numFmtId="0" xfId="0" applyAlignment="1" applyBorder="1" applyFill="1" applyFont="1">
      <alignment horizontal="left" readingOrder="0" shrinkToFit="0" vertical="center" wrapText="1"/>
    </xf>
    <xf borderId="1" fillId="3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1" numFmtId="1" xfId="0" applyAlignment="1" applyFont="1" applyNumberFormat="1">
      <alignment horizontal="left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4" fontId="6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3" numFmtId="1" xfId="0" applyAlignment="1" applyBorder="1" applyFont="1" applyNumberFormat="1">
      <alignment horizontal="left" shrinkToFit="0" vertical="center" wrapText="1"/>
    </xf>
    <xf borderId="1" fillId="3" fontId="3" numFmtId="164" xfId="0" applyAlignment="1" applyBorder="1" applyFont="1" applyNumberFormat="1">
      <alignment horizontal="left" readingOrder="0"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3" numFmtId="165" xfId="0" applyAlignment="1" applyBorder="1" applyFont="1" applyNumberFormat="1">
      <alignment horizontal="left" readingOrder="0" shrinkToFit="0" vertical="center" wrapText="1"/>
    </xf>
    <xf borderId="1" fillId="4" fontId="12" numFmtId="0" xfId="0" applyAlignment="1" applyBorder="1" applyFont="1">
      <alignment horizontal="left" shrinkToFit="0" vertical="center" wrapText="1"/>
    </xf>
    <xf borderId="1" fillId="3" fontId="3" numFmtId="165" xfId="0" applyAlignment="1" applyBorder="1" applyFont="1" applyNumberFormat="1">
      <alignment horizontal="left" readingOrder="0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4" fontId="12" numFmtId="0" xfId="0" applyAlignment="1" applyBorder="1" applyFont="1">
      <alignment horizontal="left" readingOrder="0" shrinkToFit="0" vertical="center" wrapText="1"/>
    </xf>
    <xf borderId="0" fillId="0" fontId="3" numFmtId="166" xfId="0" applyAlignment="1" applyFont="1" applyNumberFormat="1">
      <alignment horizontal="left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1" fillId="3" fontId="13" numFmtId="0" xfId="0" applyAlignment="1" applyBorder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1" fillId="3" fontId="14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3" numFmtId="167" xfId="0" applyAlignment="1" applyFont="1" applyNumberFormat="1">
      <alignment horizontal="left" readingOrder="0" shrinkToFit="0" vertical="center" wrapText="1"/>
    </xf>
    <xf borderId="0" fillId="0" fontId="3" numFmtId="165" xfId="0" applyAlignment="1" applyFont="1" applyNumberForma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3" numFmtId="168" xfId="0" applyAlignment="1" applyFont="1" applyNumberForma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3" numFmtId="169" xfId="0" applyAlignment="1" applyFont="1" applyNumberFormat="1">
      <alignment horizontal="left" readingOrder="0" shrinkToFit="0" vertical="center" wrapText="1"/>
    </xf>
    <xf borderId="1" fillId="5" fontId="3" numFmtId="0" xfId="0" applyAlignment="1" applyBorder="1" applyFill="1" applyFont="1">
      <alignment horizontal="left" readingOrder="0"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5" fontId="3" numFmtId="165" xfId="0" applyAlignment="1" applyBorder="1" applyFont="1" applyNumberFormat="1">
      <alignment horizontal="left" readingOrder="0" shrinkToFit="0" vertical="center" wrapText="1"/>
    </xf>
    <xf borderId="0" fillId="0" fontId="2" numFmtId="169" xfId="0" applyAlignment="1" applyFont="1" applyNumberFormat="1">
      <alignment horizontal="left" readingOrder="0" shrinkToFit="0" vertical="center" wrapText="1"/>
    </xf>
    <xf borderId="0" fillId="0" fontId="3" numFmtId="165" xfId="0" applyAlignment="1" applyFont="1" applyNumberFormat="1">
      <alignment horizontal="left" shrinkToFit="0" vertical="center" wrapText="1"/>
    </xf>
    <xf borderId="0" fillId="0" fontId="3" numFmtId="169" xfId="0" applyAlignment="1" applyFont="1" applyNumberFormat="1">
      <alignment horizontal="left" shrinkToFit="0" vertical="center" wrapText="1"/>
    </xf>
    <xf borderId="1" fillId="6" fontId="17" numFmtId="0" xfId="0" applyAlignment="1" applyBorder="1" applyFill="1" applyFont="1">
      <alignment horizontal="left" shrinkToFit="0" vertical="center" wrapText="0"/>
    </xf>
    <xf borderId="1" fillId="6" fontId="18" numFmtId="0" xfId="0" applyAlignment="1" applyBorder="1" applyFont="1">
      <alignment horizontal="center" shrinkToFit="0" vertical="center" wrapText="0"/>
    </xf>
    <xf borderId="1" fillId="6" fontId="19" numFmtId="0" xfId="0" applyAlignment="1" applyBorder="1" applyFont="1">
      <alignment horizontal="left" shrinkToFit="0" vertical="center" wrapText="0"/>
    </xf>
    <xf borderId="1" fillId="6" fontId="20" numFmtId="0" xfId="0" applyAlignment="1" applyBorder="1" applyFont="1">
      <alignment horizontal="left" shrinkToFit="0" vertical="center" wrapText="0"/>
    </xf>
    <xf borderId="1" fillId="6" fontId="21" numFmtId="0" xfId="0" applyAlignment="1" applyBorder="1" applyFont="1">
      <alignment horizontal="center" shrinkToFit="0" vertical="center" wrapText="0"/>
    </xf>
    <xf borderId="1" fillId="6" fontId="21" numFmtId="0" xfId="0" applyAlignment="1" applyBorder="1" applyFont="1">
      <alignment horizontal="left" shrinkToFit="0" vertical="center" wrapText="0"/>
    </xf>
    <xf borderId="1" fillId="6" fontId="22" numFmtId="0" xfId="0" applyAlignment="1" applyBorder="1" applyFont="1">
      <alignment horizontal="left" shrinkToFit="0" vertical="center" wrapText="0"/>
    </xf>
    <xf borderId="2" fillId="6" fontId="18" numFmtId="0" xfId="0" applyAlignment="1" applyBorder="1" applyFont="1">
      <alignment horizontal="left" shrinkToFit="0" vertical="center" wrapText="0"/>
    </xf>
    <xf borderId="3" fillId="0" fontId="23" numFmtId="0" xfId="0" applyAlignment="1" applyBorder="1" applyFont="1">
      <alignment horizontal="left" shrinkToFit="0" vertical="center" wrapText="1"/>
    </xf>
    <xf borderId="4" fillId="0" fontId="23" numFmtId="0" xfId="0" applyAlignment="1" applyBorder="1" applyFont="1">
      <alignment horizontal="left" shrinkToFit="0" vertical="center" wrapText="1"/>
    </xf>
    <xf borderId="1" fillId="6" fontId="24" numFmtId="0" xfId="0" applyAlignment="1" applyBorder="1" applyFont="1">
      <alignment horizontal="left" shrinkToFit="0" vertical="center" wrapText="0"/>
    </xf>
    <xf borderId="2" fillId="6" fontId="3" numFmtId="0" xfId="0" applyAlignment="1" applyBorder="1" applyFont="1">
      <alignment horizontal="left" shrinkToFit="0" vertical="center" wrapText="1"/>
    </xf>
    <xf borderId="2" fillId="6" fontId="3" numFmtId="0" xfId="0" applyAlignment="1" applyBorder="1" applyFont="1">
      <alignment horizontal="left" readingOrder="0" shrinkToFit="0" vertical="center" wrapText="1"/>
    </xf>
    <xf borderId="2" fillId="6" fontId="25" numFmtId="0" xfId="0" applyAlignment="1" applyBorder="1" applyFont="1">
      <alignment horizontal="right" shrinkToFit="0" vertical="center" wrapText="1"/>
    </xf>
    <xf borderId="2" fillId="6" fontId="26" numFmtId="0" xfId="0" applyAlignment="1" applyBorder="1" applyFont="1">
      <alignment horizontal="left" shrinkToFit="0" vertical="center" wrapText="0"/>
    </xf>
    <xf borderId="3" fillId="6" fontId="26" numFmtId="0" xfId="0" applyAlignment="1" applyBorder="1" applyFont="1">
      <alignment horizontal="left" shrinkToFit="0" vertical="center" wrapText="0"/>
    </xf>
    <xf borderId="4" fillId="6" fontId="26" numFmtId="0" xfId="0" applyAlignment="1" applyBorder="1" applyFont="1">
      <alignment horizontal="left" shrinkToFit="0" vertical="center" wrapText="0"/>
    </xf>
    <xf borderId="2" fillId="6" fontId="26" numFmtId="0" xfId="0" applyAlignment="1" applyBorder="1" applyFont="1">
      <alignment horizontal="left" shrinkToFit="0" vertical="center" wrapText="1"/>
    </xf>
    <xf borderId="4" fillId="6" fontId="26" numFmtId="0" xfId="0" applyAlignment="1" applyBorder="1" applyFont="1">
      <alignment horizontal="left" shrinkToFit="0" vertical="center" wrapText="1"/>
    </xf>
    <xf borderId="1" fillId="6" fontId="27" numFmtId="0" xfId="0" applyAlignment="1" applyBorder="1" applyFont="1">
      <alignment horizontal="left" shrinkToFit="0" vertical="center" wrapText="0"/>
    </xf>
    <xf borderId="1" fillId="6" fontId="28" numFmtId="0" xfId="0" applyAlignment="1" applyBorder="1" applyFont="1">
      <alignment horizontal="left" shrinkToFit="0" vertical="center" wrapText="1"/>
    </xf>
    <xf borderId="2" fillId="6" fontId="29" numFmtId="0" xfId="0" applyAlignment="1" applyBorder="1" applyFont="1">
      <alignment horizontal="left" shrinkToFit="0" vertical="center" wrapText="1"/>
    </xf>
    <xf borderId="5" fillId="6" fontId="30" numFmtId="0" xfId="0" applyAlignment="1" applyBorder="1" applyFont="1">
      <alignment horizontal="center" readingOrder="0" shrinkToFit="0" vertical="center" wrapText="0"/>
    </xf>
    <xf borderId="6" fillId="0" fontId="23" numFmtId="0" xfId="0" applyAlignment="1" applyBorder="1" applyFont="1">
      <alignment horizontal="left" shrinkToFit="0" vertical="center" wrapText="1"/>
    </xf>
    <xf borderId="7" fillId="0" fontId="23" numFmtId="0" xfId="0" applyAlignment="1" applyBorder="1" applyFont="1">
      <alignment horizontal="left" shrinkToFit="0" vertical="center" wrapText="1"/>
    </xf>
    <xf borderId="1" fillId="6" fontId="31" numFmtId="0" xfId="0" applyAlignment="1" applyBorder="1" applyFont="1">
      <alignment horizontal="left" shrinkToFit="0" vertical="center" wrapText="0"/>
    </xf>
    <xf borderId="1" fillId="6" fontId="21" numFmtId="0" xfId="0" applyAlignment="1" applyBorder="1" applyFont="1">
      <alignment horizontal="left" shrinkToFit="0" vertical="center" wrapText="1"/>
    </xf>
    <xf borderId="1" fillId="6" fontId="24" numFmtId="0" xfId="0" applyAlignment="1" applyBorder="1" applyFont="1">
      <alignment horizontal="left" shrinkToFit="0" vertical="center" wrapText="1"/>
    </xf>
    <xf borderId="8" fillId="6" fontId="32" numFmtId="0" xfId="0" applyAlignment="1" applyBorder="1" applyFont="1">
      <alignment horizontal="center" shrinkToFit="0" vertical="center" wrapText="0"/>
    </xf>
    <xf borderId="9" fillId="0" fontId="23" numFmtId="0" xfId="0" applyAlignment="1" applyBorder="1" applyFont="1">
      <alignment horizontal="left" shrinkToFit="0" vertical="center" wrapText="1"/>
    </xf>
    <xf borderId="10" fillId="6" fontId="31" numFmtId="0" xfId="0" applyAlignment="1" applyBorder="1" applyFont="1">
      <alignment horizontal="center" readingOrder="0" shrinkToFit="0" vertical="center" wrapText="0"/>
    </xf>
    <xf borderId="11" fillId="6" fontId="32" numFmtId="0" xfId="0" applyAlignment="1" applyBorder="1" applyFont="1">
      <alignment horizontal="center" shrinkToFit="0" vertical="center" wrapText="0"/>
    </xf>
    <xf borderId="12" fillId="0" fontId="23" numFmtId="0" xfId="0" applyAlignment="1" applyBorder="1" applyFont="1">
      <alignment horizontal="left" shrinkToFit="0" vertical="center" wrapText="1"/>
    </xf>
    <xf borderId="10" fillId="4" fontId="33" numFmtId="164" xfId="0" applyAlignment="1" applyBorder="1" applyFont="1" applyNumberFormat="1">
      <alignment horizontal="center" readingOrder="0" shrinkToFit="0" vertical="center" wrapText="1"/>
    </xf>
    <xf borderId="1" fillId="6" fontId="24" numFmtId="0" xfId="0" applyAlignment="1" applyBorder="1" applyFont="1">
      <alignment horizontal="right" shrinkToFit="0" vertical="center" wrapText="1"/>
    </xf>
    <xf borderId="1" fillId="4" fontId="34" numFmtId="0" xfId="0" applyAlignment="1" applyBorder="1" applyFont="1">
      <alignment horizontal="left" readingOrder="0" shrinkToFit="0" vertical="center" wrapText="1"/>
    </xf>
    <xf borderId="1" fillId="6" fontId="22" numFmtId="0" xfId="0" applyAlignment="1" applyBorder="1" applyFont="1">
      <alignment horizontal="right" shrinkToFit="0" vertical="center" wrapText="0"/>
    </xf>
    <xf borderId="1" fillId="6" fontId="35" numFmtId="0" xfId="0" applyAlignment="1" applyBorder="1" applyFont="1">
      <alignment horizontal="left" shrinkToFit="0" vertical="center" wrapText="0"/>
    </xf>
    <xf borderId="13" fillId="6" fontId="30" numFmtId="0" xfId="0" applyAlignment="1" applyBorder="1" applyFont="1">
      <alignment horizontal="left" shrinkToFit="0" vertical="center" wrapText="0"/>
    </xf>
    <xf borderId="14" fillId="6" fontId="30" numFmtId="0" xfId="0" applyAlignment="1" applyBorder="1" applyFont="1">
      <alignment horizontal="center" shrinkToFit="0" vertical="center" wrapText="0"/>
    </xf>
    <xf borderId="15" fillId="0" fontId="23" numFmtId="0" xfId="0" applyAlignment="1" applyBorder="1" applyFont="1">
      <alignment horizontal="left" shrinkToFit="0" vertical="center" wrapText="1"/>
    </xf>
    <xf borderId="16" fillId="0" fontId="23" numFmtId="0" xfId="0" applyAlignment="1" applyBorder="1" applyFont="1">
      <alignment horizontal="left" shrinkToFit="0" vertical="center" wrapText="1"/>
    </xf>
    <xf borderId="13" fillId="6" fontId="30" numFmtId="0" xfId="0" applyAlignment="1" applyBorder="1" applyFont="1">
      <alignment horizontal="center" shrinkToFit="0" vertical="center" wrapText="0"/>
    </xf>
    <xf borderId="14" fillId="6" fontId="30" numFmtId="0" xfId="0" applyAlignment="1" applyBorder="1" applyFont="1">
      <alignment horizontal="center" shrinkToFit="0" vertical="center" wrapText="1"/>
    </xf>
    <xf borderId="17" fillId="0" fontId="23" numFmtId="0" xfId="0" applyAlignment="1" applyBorder="1" applyFont="1">
      <alignment horizontal="left" shrinkToFit="0" vertical="center" wrapText="1"/>
    </xf>
    <xf borderId="18" fillId="0" fontId="23" numFmtId="0" xfId="0" applyAlignment="1" applyBorder="1" applyFont="1">
      <alignment horizontal="left" shrinkToFit="0" vertical="center" wrapText="1"/>
    </xf>
    <xf borderId="19" fillId="0" fontId="23" numFmtId="0" xfId="0" applyAlignment="1" applyBorder="1" applyFont="1">
      <alignment horizontal="left" shrinkToFit="0" vertical="center" wrapText="1"/>
    </xf>
    <xf borderId="20" fillId="0" fontId="23" numFmtId="0" xfId="0" applyAlignment="1" applyBorder="1" applyFont="1">
      <alignment horizontal="left" shrinkToFit="0" vertical="center" wrapText="1"/>
    </xf>
    <xf borderId="21" fillId="6" fontId="36" numFmtId="0" xfId="0" applyAlignment="1" applyBorder="1" applyFont="1">
      <alignment horizontal="left" shrinkToFit="0" vertical="center" wrapText="0"/>
    </xf>
    <xf borderId="8" fillId="6" fontId="36" numFmtId="0" xfId="0" applyAlignment="1" applyBorder="1" applyFont="1">
      <alignment horizontal="center" shrinkToFit="0" vertical="center" wrapText="1"/>
    </xf>
    <xf borderId="22" fillId="0" fontId="23" numFmtId="0" xfId="0" applyAlignment="1" applyBorder="1" applyFont="1">
      <alignment horizontal="left" shrinkToFit="0" vertical="center" wrapText="1"/>
    </xf>
    <xf borderId="23" fillId="0" fontId="23" numFmtId="0" xfId="0" applyAlignment="1" applyBorder="1" applyFont="1">
      <alignment horizontal="left" shrinkToFit="0" vertical="center" wrapText="1"/>
    </xf>
    <xf borderId="24" fillId="6" fontId="36" numFmtId="0" xfId="0" applyAlignment="1" applyBorder="1" applyFont="1">
      <alignment horizontal="center" shrinkToFit="0" vertical="center" wrapText="0"/>
    </xf>
    <xf borderId="2" fillId="6" fontId="29" numFmtId="0" xfId="0" applyAlignment="1" applyBorder="1" applyFont="1">
      <alignment horizontal="center" shrinkToFit="0" vertical="center" wrapText="1"/>
    </xf>
    <xf borderId="25" fillId="0" fontId="23" numFmtId="0" xfId="0" applyAlignment="1" applyBorder="1" applyFont="1">
      <alignment horizontal="left" shrinkToFit="0" vertical="center" wrapText="1"/>
    </xf>
    <xf borderId="2" fillId="6" fontId="29" numFmtId="4" xfId="0" applyAlignment="1" applyBorder="1" applyFont="1" applyNumberFormat="1">
      <alignment horizontal="left" shrinkToFit="0" vertical="center" wrapText="1"/>
    </xf>
    <xf borderId="26" fillId="6" fontId="36" numFmtId="0" xfId="0" applyAlignment="1" applyBorder="1" applyFont="1">
      <alignment horizontal="center" shrinkToFit="0" vertical="center" wrapText="1"/>
    </xf>
    <xf borderId="2" fillId="6" fontId="29" numFmtId="2" xfId="0" applyAlignment="1" applyBorder="1" applyFont="1" applyNumberFormat="1">
      <alignment horizontal="left" shrinkToFit="0" vertical="center" wrapText="1"/>
    </xf>
    <xf borderId="27" fillId="0" fontId="4" numFmtId="0" xfId="0" applyAlignment="1" applyBorder="1" applyFont="1">
      <alignment horizontal="left" readingOrder="0" shrinkToFit="0" vertical="center" wrapText="1"/>
    </xf>
    <xf borderId="26" fillId="6" fontId="29" numFmtId="0" xfId="0" applyAlignment="1" applyBorder="1" applyFont="1">
      <alignment horizontal="left" shrinkToFit="0" vertical="center" wrapText="1"/>
    </xf>
    <xf borderId="28" fillId="6" fontId="36" numFmtId="0" xfId="0" applyAlignment="1" applyBorder="1" applyFont="1">
      <alignment horizontal="left" shrinkToFit="0" vertical="center" wrapText="0"/>
    </xf>
    <xf borderId="1" fillId="6" fontId="36" numFmtId="0" xfId="0" applyAlignment="1" applyBorder="1" applyFont="1">
      <alignment horizontal="left" shrinkToFit="0" vertical="center" wrapText="1"/>
    </xf>
    <xf borderId="1" fillId="6" fontId="36" numFmtId="0" xfId="0" applyAlignment="1" applyBorder="1" applyFont="1">
      <alignment horizontal="center" shrinkToFit="0" vertical="center" wrapText="0"/>
    </xf>
    <xf borderId="28" fillId="6" fontId="36" numFmtId="0" xfId="0" applyAlignment="1" applyBorder="1" applyFont="1">
      <alignment horizontal="center" shrinkToFit="0" vertical="center" wrapText="0"/>
    </xf>
    <xf borderId="28" fillId="6" fontId="24" numFmtId="0" xfId="0" applyAlignment="1" applyBorder="1" applyFont="1">
      <alignment horizontal="left" shrinkToFit="0" vertical="center" wrapText="0"/>
    </xf>
    <xf borderId="1" fillId="6" fontId="24" numFmtId="0" xfId="0" applyAlignment="1" applyBorder="1" applyFont="1">
      <alignment horizontal="center" readingOrder="0" shrinkToFit="0" vertical="center" wrapText="0"/>
    </xf>
    <xf borderId="1" fillId="6" fontId="24" numFmtId="0" xfId="0" applyAlignment="1" applyBorder="1" applyFont="1">
      <alignment horizontal="center" shrinkToFit="0" vertical="center" wrapText="0"/>
    </xf>
    <xf borderId="28" fillId="6" fontId="24" numFmtId="0" xfId="0" applyAlignment="1" applyBorder="1" applyFont="1">
      <alignment horizontal="center" shrinkToFit="0" vertical="center" wrapText="0"/>
    </xf>
    <xf borderId="29" fillId="6" fontId="24" numFmtId="0" xfId="0" applyAlignment="1" applyBorder="1" applyFont="1">
      <alignment horizontal="left" shrinkToFit="0" vertical="center" wrapText="0"/>
    </xf>
    <xf borderId="30" fillId="6" fontId="3" numFmtId="0" xfId="0" applyAlignment="1" applyBorder="1" applyFont="1">
      <alignment horizontal="left" shrinkToFit="0" vertical="center" wrapText="1"/>
    </xf>
    <xf borderId="31" fillId="0" fontId="23" numFmtId="0" xfId="0" applyAlignment="1" applyBorder="1" applyFont="1">
      <alignment horizontal="left" shrinkToFit="0" vertical="center" wrapText="1"/>
    </xf>
    <xf borderId="32" fillId="6" fontId="24" numFmtId="0" xfId="0" applyAlignment="1" applyBorder="1" applyFont="1">
      <alignment horizontal="center" shrinkToFit="0" vertical="center" wrapText="0"/>
    </xf>
    <xf borderId="29" fillId="6" fontId="24" numFmtId="0" xfId="0" applyAlignment="1" applyBorder="1" applyFont="1">
      <alignment horizontal="center" shrinkToFit="0" vertical="center" wrapText="0"/>
    </xf>
    <xf borderId="33" fillId="0" fontId="23" numFmtId="0" xfId="0" applyAlignment="1" applyBorder="1" applyFont="1">
      <alignment horizontal="left" shrinkToFit="0" vertical="center" wrapText="1"/>
    </xf>
    <xf borderId="1" fillId="6" fontId="35" numFmtId="0" xfId="0" applyAlignment="1" applyBorder="1" applyFont="1">
      <alignment horizontal="right" shrinkToFit="0" vertical="center" wrapText="0"/>
    </xf>
    <xf borderId="1" fillId="6" fontId="24" numFmtId="170" xfId="0" applyAlignment="1" applyBorder="1" applyFont="1" applyNumberFormat="1">
      <alignment horizontal="right" shrinkToFit="0" vertical="center" wrapText="0"/>
    </xf>
    <xf borderId="1" fillId="6" fontId="24" numFmtId="0" xfId="0" applyAlignment="1" applyBorder="1" applyFont="1">
      <alignment horizontal="right" shrinkToFit="0" vertical="center" wrapText="0"/>
    </xf>
    <xf borderId="1" fillId="6" fontId="35" numFmtId="170" xfId="0" applyAlignment="1" applyBorder="1" applyFont="1" applyNumberFormat="1">
      <alignment horizontal="right" shrinkToFit="0" vertical="center" wrapText="0"/>
    </xf>
    <xf borderId="1" fillId="6" fontId="17" numFmtId="0" xfId="0" applyAlignment="1" applyBorder="1" applyFont="1">
      <alignment horizontal="left" readingOrder="0" shrinkToFit="0" vertical="center" wrapText="0"/>
    </xf>
    <xf borderId="34" fillId="6" fontId="37" numFmtId="0" xfId="0" applyAlignment="1" applyBorder="1" applyFont="1">
      <alignment horizontal="left" shrinkToFit="0" vertical="top" wrapText="1"/>
    </xf>
    <xf borderId="35" fillId="0" fontId="23" numFmtId="0" xfId="0" applyAlignment="1" applyBorder="1" applyFont="1">
      <alignment horizontal="left" shrinkToFit="0" vertical="center" wrapText="1"/>
    </xf>
    <xf borderId="36" fillId="0" fontId="23" numFmtId="0" xfId="0" applyAlignment="1" applyBorder="1" applyFont="1">
      <alignment horizontal="left" shrinkToFit="0" vertical="center" wrapText="1"/>
    </xf>
    <xf borderId="37" fillId="0" fontId="23" numFmtId="0" xfId="0" applyAlignment="1" applyBorder="1" applyFont="1">
      <alignment horizontal="left" shrinkToFit="0" vertical="center" wrapText="1"/>
    </xf>
    <xf borderId="38" fillId="0" fontId="23" numFmtId="0" xfId="0" applyAlignment="1" applyBorder="1" applyFont="1">
      <alignment horizontal="left" shrinkToFit="0" vertical="center" wrapText="1"/>
    </xf>
    <xf borderId="39" fillId="0" fontId="23" numFmtId="0" xfId="0" applyAlignment="1" applyBorder="1" applyFont="1">
      <alignment horizontal="left" shrinkToFit="0" vertical="center" wrapText="1"/>
    </xf>
    <xf borderId="40" fillId="0" fontId="23" numFmtId="0" xfId="0" applyAlignment="1" applyBorder="1" applyFont="1">
      <alignment horizontal="left" shrinkToFit="0" vertical="center" wrapText="1"/>
    </xf>
    <xf borderId="41" fillId="0" fontId="23" numFmtId="0" xfId="0" applyAlignment="1" applyBorder="1" applyFont="1">
      <alignment horizontal="left" shrinkToFit="0" vertical="center" wrapText="1"/>
    </xf>
    <xf borderId="42" fillId="6" fontId="37" numFmtId="0" xfId="0" applyAlignment="1" applyBorder="1" applyFont="1">
      <alignment horizontal="center" shrinkToFit="0" vertical="center" wrapText="1"/>
    </xf>
    <xf borderId="43" fillId="0" fontId="2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5" fillId="6" fontId="30" numFmtId="0" xfId="0" applyAlignment="1" applyBorder="1" applyFont="1">
      <alignment horizontal="center" shrinkToFit="0" vertical="center" wrapText="0"/>
    </xf>
    <xf borderId="10" fillId="4" fontId="33" numFmtId="169" xfId="0" applyAlignment="1" applyBorder="1" applyFont="1" applyNumberFormat="1">
      <alignment horizontal="center" readingOrder="0" shrinkToFit="0" vertical="center" wrapText="1"/>
    </xf>
    <xf borderId="1" fillId="4" fontId="34" numFmtId="0" xfId="0" applyAlignment="1" applyBorder="1" applyFont="1">
      <alignment horizontal="left" shrinkToFit="0" vertical="center" wrapText="1"/>
    </xf>
    <xf borderId="14" fillId="6" fontId="30" numFmtId="0" xfId="0" applyAlignment="1" applyBorder="1" applyFont="1">
      <alignment horizontal="center" readingOrder="0" shrinkToFit="0" vertical="center" wrapText="1"/>
    </xf>
    <xf borderId="24" fillId="6" fontId="36" numFmtId="0" xfId="0" applyAlignment="1" applyBorder="1" applyFont="1">
      <alignment horizontal="center" readingOrder="0" shrinkToFit="0" vertical="center" wrapText="0"/>
    </xf>
    <xf borderId="1" fillId="6" fontId="35" numFmtId="0" xfId="0" applyAlignment="1" applyBorder="1" applyFont="1">
      <alignment horizontal="right" readingOrder="0" shrinkToFit="0" vertical="center" wrapText="0"/>
    </xf>
    <xf borderId="1" fillId="6" fontId="38" numFmtId="0" xfId="0" applyAlignment="1" applyBorder="1" applyFont="1">
      <alignment horizontal="left" shrinkToFit="0" vertical="center" wrapText="0"/>
    </xf>
    <xf borderId="10" fillId="4" fontId="33" numFmtId="0" xfId="0" applyAlignment="1" applyBorder="1" applyFont="1">
      <alignment horizontal="center" readingOrder="0" shrinkToFit="0" vertical="center" wrapText="1"/>
    </xf>
    <xf borderId="44" fillId="6" fontId="31" numFmtId="0" xfId="0" applyAlignment="1" applyBorder="1" applyFont="1">
      <alignment horizontal="center" shrinkToFit="0" vertical="center" wrapText="0"/>
    </xf>
    <xf borderId="1" fillId="4" fontId="3" numFmtId="168" xfId="0" applyAlignment="1" applyBorder="1" applyFont="1" applyNumberFormat="1">
      <alignment horizontal="left" readingOrder="0" shrinkToFit="0" vertical="center" wrapText="1"/>
    </xf>
    <xf borderId="1" fillId="4" fontId="3" numFmtId="165" xfId="0" applyAlignment="1" applyBorder="1" applyFont="1" applyNumberFormat="1">
      <alignment horizontal="left" shrinkToFit="0" vertical="center" wrapText="1"/>
    </xf>
    <xf borderId="1" fillId="3" fontId="3" numFmtId="165" xfId="0" applyAlignment="1" applyBorder="1" applyFont="1" applyNumberFormat="1">
      <alignment horizontal="left" shrinkToFit="0" vertical="center" wrapText="1"/>
    </xf>
    <xf borderId="1" fillId="4" fontId="3" numFmtId="1" xfId="0" applyAlignment="1" applyBorder="1" applyFont="1" applyNumberFormat="1">
      <alignment horizontal="left" shrinkToFit="0" vertical="center" wrapText="1"/>
    </xf>
    <xf borderId="1" fillId="3" fontId="13" numFmtId="0" xfId="0" applyAlignment="1" applyBorder="1" applyFont="1">
      <alignment horizontal="left" shrinkToFit="0" vertical="center" wrapText="1"/>
    </xf>
    <xf borderId="1" fillId="3" fontId="14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3" numFmtId="1" xfId="0" applyAlignment="1" applyFont="1" applyNumberFormat="1">
      <alignment horizontal="left" shrinkToFit="0" vertical="center" wrapText="1"/>
    </xf>
    <xf borderId="0" fillId="0" fontId="3" numFmtId="167" xfId="0" applyAlignment="1" applyFont="1" applyNumberForma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3" numFmtId="168" xfId="0" applyAlignment="1" applyFont="1" applyNumberForma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1" fillId="5" fontId="3" numFmtId="165" xfId="0" applyAlignment="1" applyBorder="1" applyFont="1" applyNumberFormat="1">
      <alignment horizontal="left" shrinkToFit="0" vertical="center" wrapText="1"/>
    </xf>
    <xf borderId="1" fillId="6" fontId="39" numFmtId="0" xfId="0" applyAlignment="1" applyBorder="1" applyFont="1">
      <alignment horizontal="left" shrinkToFit="0" vertical="center" wrapText="0"/>
    </xf>
    <xf borderId="44" fillId="6" fontId="31" numFmtId="0" xfId="0" applyAlignment="1" applyBorder="1" applyFont="1">
      <alignment horizontal="center" readingOrder="0" shrinkToFit="0" vertical="center" wrapText="0"/>
    </xf>
    <xf borderId="1" fillId="4" fontId="34" numFmtId="165" xfId="0" applyAlignment="1" applyBorder="1" applyFont="1" applyNumberFormat="1">
      <alignment horizontal="left" shrinkToFit="0" vertical="center" wrapText="1"/>
    </xf>
    <xf borderId="0" fillId="0" fontId="29" numFmtId="0" xfId="0" applyAlignment="1" applyFont="1">
      <alignment horizontal="left" shrinkToFit="0" vertical="center" wrapText="1"/>
    </xf>
    <xf borderId="1" fillId="4" fontId="3" numFmtId="169" xfId="0" applyAlignment="1" applyBorder="1" applyFont="1" applyNumberFormat="1">
      <alignment horizontal="left" shrinkToFit="0" vertical="center" wrapText="1"/>
    </xf>
    <xf borderId="1" fillId="3" fontId="3" numFmtId="169" xfId="0" applyAlignment="1" applyBorder="1" applyFont="1" applyNumberFormat="1">
      <alignment horizontal="left" shrinkToFit="0" vertical="center" wrapText="1"/>
    </xf>
    <xf borderId="1" fillId="4" fontId="40" numFmtId="169" xfId="0" applyAlignment="1" applyBorder="1" applyFont="1" applyNumberFormat="1">
      <alignment horizontal="left" shrinkToFit="0" vertical="center" wrapText="1"/>
    </xf>
    <xf borderId="1" fillId="3" fontId="3" numFmtId="167" xfId="0" applyAlignment="1" applyBorder="1" applyFont="1" applyNumberFormat="1">
      <alignment horizontal="left" shrinkToFit="0" vertical="center" wrapText="1"/>
    </xf>
    <xf borderId="1" fillId="4" fontId="3" numFmtId="167" xfId="0" applyAlignment="1" applyBorder="1" applyFont="1" applyNumberFormat="1">
      <alignment horizontal="left" shrinkToFit="0" vertical="center" wrapText="1"/>
    </xf>
    <xf borderId="1" fillId="3" fontId="41" numFmtId="0" xfId="0" applyAlignment="1" applyBorder="1" applyFont="1">
      <alignment horizontal="left" shrinkToFit="0" vertical="center" wrapText="1"/>
    </xf>
    <xf borderId="1" fillId="4" fontId="42" numFmtId="0" xfId="0" applyAlignment="1" applyBorder="1" applyFont="1">
      <alignment horizontal="left" shrinkToFit="0" vertical="center" wrapText="1"/>
    </xf>
    <xf borderId="1" fillId="3" fontId="16" numFmtId="0" xfId="0" applyAlignment="1" applyBorder="1" applyFont="1">
      <alignment horizontal="left" shrinkToFit="0" vertical="center" wrapText="1"/>
    </xf>
    <xf borderId="1" fillId="4" fontId="13" numFmtId="0" xfId="0" applyAlignment="1" applyBorder="1" applyFont="1">
      <alignment horizontal="left" shrinkToFit="0" vertical="center" wrapText="1"/>
    </xf>
    <xf borderId="1" fillId="4" fontId="14" numFmtId="0" xfId="0" applyAlignment="1" applyBorder="1" applyFont="1">
      <alignment horizontal="left" shrinkToFit="0" vertical="center" wrapText="1"/>
    </xf>
    <xf borderId="1" fillId="7" fontId="3" numFmtId="0" xfId="0" applyAlignment="1" applyBorder="1" applyFill="1" applyFont="1">
      <alignment horizontal="left" shrinkToFit="0" vertical="center" wrapText="1"/>
    </xf>
    <xf borderId="1" fillId="8" fontId="3" numFmtId="0" xfId="0" applyAlignment="1" applyBorder="1" applyFill="1" applyFont="1">
      <alignment horizontal="left" shrinkToFit="0" vertical="center" wrapText="1"/>
    </xf>
    <xf borderId="1" fillId="9" fontId="3" numFmtId="0" xfId="0" applyAlignment="1" applyBorder="1" applyFill="1" applyFont="1">
      <alignment horizontal="left" shrinkToFit="0" vertical="center" wrapText="1"/>
    </xf>
    <xf borderId="1" fillId="10" fontId="3" numFmtId="0" xfId="0" applyAlignment="1" applyBorder="1" applyFill="1" applyFont="1">
      <alignment horizontal="left" shrinkToFit="0" vertical="center" wrapText="1"/>
    </xf>
    <xf borderId="1" fillId="11" fontId="3" numFmtId="0" xfId="0" applyAlignment="1" applyBorder="1" applyFill="1" applyFont="1">
      <alignment horizontal="left" shrinkToFit="0" vertical="center" wrapText="1"/>
    </xf>
    <xf borderId="1" fillId="12" fontId="3" numFmtId="0" xfId="0" applyAlignment="1" applyBorder="1" applyFill="1" applyFont="1">
      <alignment horizontal="left" shrinkToFit="0" vertical="center" wrapText="1"/>
    </xf>
    <xf borderId="1" fillId="13" fontId="3" numFmtId="0" xfId="0" applyAlignment="1" applyBorder="1" applyFill="1" applyFont="1">
      <alignment horizontal="left" shrinkToFit="0" vertical="center" wrapText="1"/>
    </xf>
    <xf borderId="1" fillId="14" fontId="3" numFmtId="0" xfId="0" applyAlignment="1" applyBorder="1" applyFill="1" applyFont="1">
      <alignment horizontal="left" shrinkToFit="0" vertical="center" wrapText="1"/>
    </xf>
    <xf borderId="1" fillId="15" fontId="3" numFmtId="0" xfId="0" applyAlignment="1" applyBorder="1" applyFill="1" applyFont="1">
      <alignment horizontal="left" shrinkToFit="0" vertical="center" wrapText="1"/>
    </xf>
    <xf borderId="1" fillId="16" fontId="3" numFmtId="165" xfId="0" applyAlignment="1" applyBorder="1" applyFill="1" applyFont="1" applyNumberFormat="1">
      <alignment horizontal="left" shrinkToFit="0" vertical="center" wrapText="1"/>
    </xf>
    <xf borderId="1" fillId="12" fontId="3" numFmtId="165" xfId="0" applyAlignment="1" applyBorder="1" applyFont="1" applyNumberFormat="1">
      <alignment horizontal="left" shrinkToFit="0" vertical="center" wrapText="1"/>
    </xf>
    <xf borderId="1" fillId="13" fontId="3" numFmtId="165" xfId="0" applyAlignment="1" applyBorder="1" applyFont="1" applyNumberFormat="1">
      <alignment horizontal="left" shrinkToFit="0" vertical="center" wrapText="1"/>
    </xf>
    <xf borderId="1" fillId="14" fontId="3" numFmtId="165" xfId="0" applyAlignment="1" applyBorder="1" applyFont="1" applyNumberFormat="1">
      <alignment horizontal="left" shrinkToFit="0" vertical="center" wrapText="1"/>
    </xf>
    <xf borderId="1" fillId="15" fontId="3" numFmtId="165" xfId="0" applyAlignment="1" applyBorder="1" applyFont="1" applyNumberFormat="1">
      <alignment horizontal="left" shrinkToFit="0" vertical="center" wrapText="1"/>
    </xf>
    <xf borderId="1" fillId="17" fontId="3" numFmtId="0" xfId="0" applyAlignment="1" applyBorder="1" applyFill="1" applyFont="1">
      <alignment horizontal="left" shrinkToFit="0" vertical="center" wrapText="1"/>
    </xf>
    <xf borderId="1" fillId="18" fontId="3" numFmtId="0" xfId="0" applyAlignment="1" applyBorder="1" applyFill="1" applyFont="1">
      <alignment horizontal="left" shrinkToFit="0" vertical="center" wrapText="1"/>
    </xf>
    <xf borderId="1" fillId="19" fontId="3" numFmtId="0" xfId="0" applyAlignment="1" applyBorder="1" applyFill="1" applyFont="1">
      <alignment horizontal="left" shrinkToFit="0" vertical="center" wrapText="1"/>
    </xf>
    <xf borderId="1" fillId="20" fontId="3" numFmtId="0" xfId="0" applyAlignment="1" applyBorder="1" applyFill="1" applyFont="1">
      <alignment horizontal="left" shrinkToFit="0" vertical="center" wrapText="1"/>
    </xf>
    <xf borderId="0" fillId="0" fontId="3" numFmtId="171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D2EDF4"/>
          <bgColor rgb="FFD2ED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Suivi Clien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0</xdr:row>
      <xdr:rowOff>171450</xdr:rowOff>
    </xdr:from>
    <xdr:ext cx="1400175" cy="1409700"/>
    <xdr:pic>
      <xdr:nvPicPr>
        <xdr:cNvPr descr="cropped-cropped-logocaroug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0</xdr:row>
      <xdr:rowOff>85725</xdr:rowOff>
    </xdr:from>
    <xdr:ext cx="1400175" cy="1409700"/>
    <xdr:pic>
      <xdr:nvPicPr>
        <xdr:cNvPr descr="cropped-cropped-logocaroug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0</xdr:row>
      <xdr:rowOff>85725</xdr:rowOff>
    </xdr:from>
    <xdr:ext cx="1400175" cy="1409700"/>
    <xdr:pic>
      <xdr:nvPicPr>
        <xdr:cNvPr descr="cropped-cropped-logocaroug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0</xdr:row>
      <xdr:rowOff>85725</xdr:rowOff>
    </xdr:from>
    <xdr:ext cx="1400175" cy="1409700"/>
    <xdr:pic>
      <xdr:nvPicPr>
        <xdr:cNvPr descr="cropped-cropped-logocaroug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0</xdr:row>
      <xdr:rowOff>85725</xdr:rowOff>
    </xdr:from>
    <xdr:ext cx="1400175" cy="1409700"/>
    <xdr:pic>
      <xdr:nvPicPr>
        <xdr:cNvPr descr="cropped-cropped-logocaroug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0</xdr:row>
      <xdr:rowOff>85725</xdr:rowOff>
    </xdr:from>
    <xdr:ext cx="1400175" cy="1409700"/>
    <xdr:pic>
      <xdr:nvPicPr>
        <xdr:cNvPr descr="cropped-cropped-logocaroug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0</xdr:row>
      <xdr:rowOff>85725</xdr:rowOff>
    </xdr:from>
    <xdr:ext cx="1400175" cy="1409700"/>
    <xdr:pic>
      <xdr:nvPicPr>
        <xdr:cNvPr descr="cropped-cropped-logocaroug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0</xdr:row>
      <xdr:rowOff>85725</xdr:rowOff>
    </xdr:from>
    <xdr:ext cx="1400175" cy="1409700"/>
    <xdr:pic>
      <xdr:nvPicPr>
        <xdr:cNvPr descr="cropped-cropped-logocaroug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0</xdr:row>
      <xdr:rowOff>85725</xdr:rowOff>
    </xdr:from>
    <xdr:ext cx="1400175" cy="1409700"/>
    <xdr:pic>
      <xdr:nvPicPr>
        <xdr:cNvPr descr="cropped-cropped-logocaroug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Feuil3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euil3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headerRowCount="0" ref="A1:H29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uivi Cli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FF8119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eocarouge@gmail.com" TargetMode="External"/><Relationship Id="rId2" Type="http://schemas.openxmlformats.org/officeDocument/2006/relationships/hyperlink" Target="mailto:tbocock@icloud.com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2" width="14.86"/>
    <col customWidth="1" min="3" max="3" width="0.43"/>
    <col customWidth="1" min="4" max="4" width="32.86"/>
    <col customWidth="1" min="5" max="6" width="12.14"/>
    <col customWidth="1" min="7" max="7" width="37.0"/>
    <col customWidth="1" min="8" max="8" width="22.14"/>
  </cols>
  <sheetData>
    <row r="1" ht="14.25" customHeight="1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4.25" customHeight="1">
      <c r="A2" s="3" t="s">
        <v>7</v>
      </c>
      <c r="B2" s="2" t="s">
        <v>8</v>
      </c>
      <c r="C2" s="4" t="str">
        <f>'Suivi Client'!$B2 &amp; " " &amp;'Suivi Client'!$A2</f>
        <v>Léo Carouge</v>
      </c>
      <c r="D2" s="5" t="s">
        <v>9</v>
      </c>
      <c r="E2" s="3" t="s">
        <v>10</v>
      </c>
      <c r="F2" s="3">
        <v>75019.0</v>
      </c>
      <c r="G2" s="3" t="s">
        <v>11</v>
      </c>
      <c r="H2" s="3">
        <v>6.45080351E8</v>
      </c>
    </row>
    <row r="3" ht="14.25" customHeight="1">
      <c r="A3" s="3" t="s">
        <v>12</v>
      </c>
      <c r="B3" s="2" t="s">
        <v>13</v>
      </c>
      <c r="C3" s="4" t="str">
        <f>'Suivi Client'!$B3 &amp; " " &amp;'Suivi Client'!$A3</f>
        <v>Agnès marrié</v>
      </c>
      <c r="D3" s="6"/>
      <c r="E3" s="3"/>
      <c r="F3" s="3"/>
      <c r="G3" s="3"/>
      <c r="H3" s="3"/>
    </row>
    <row r="4" ht="14.25" customHeight="1">
      <c r="A4" s="3" t="s">
        <v>14</v>
      </c>
      <c r="B4" s="2" t="s">
        <v>15</v>
      </c>
      <c r="C4" s="4" t="str">
        <f>'Suivi Client'!$B4 &amp; " " &amp;'Suivi Client'!$A4</f>
        <v>Pierre leclézio</v>
      </c>
      <c r="D4" s="6"/>
      <c r="E4" s="3"/>
      <c r="F4" s="3">
        <v>75016.0</v>
      </c>
      <c r="G4" s="3" t="s">
        <v>11</v>
      </c>
      <c r="H4" s="3"/>
    </row>
    <row r="5" ht="14.25" customHeight="1">
      <c r="A5" s="3" t="s">
        <v>16</v>
      </c>
      <c r="B5" s="2" t="s">
        <v>17</v>
      </c>
      <c r="C5" s="4" t="str">
        <f>'Suivi Client'!$B5 &amp; " " &amp;'Suivi Client'!$A5</f>
        <v>GAEL LAPEDAGNE</v>
      </c>
      <c r="D5" s="6"/>
      <c r="E5" s="3"/>
      <c r="F5" s="3"/>
      <c r="G5" s="3" t="s">
        <v>18</v>
      </c>
      <c r="H5" s="3"/>
    </row>
    <row r="6" ht="14.25" customHeight="1">
      <c r="A6" s="3" t="s">
        <v>19</v>
      </c>
      <c r="B6" s="2" t="s">
        <v>20</v>
      </c>
      <c r="C6" s="4" t="str">
        <f>'Suivi Client'!$B6 &amp; " " &amp;'Suivi Client'!$A6</f>
        <v>OIHAN MADARIAGA</v>
      </c>
      <c r="D6" s="3"/>
      <c r="E6" s="3"/>
      <c r="F6" s="3"/>
      <c r="G6" s="3" t="s">
        <v>21</v>
      </c>
      <c r="H6" s="3"/>
    </row>
    <row r="7" ht="14.25" customHeight="1">
      <c r="A7" s="3" t="s">
        <v>22</v>
      </c>
      <c r="B7" s="2" t="s">
        <v>23</v>
      </c>
      <c r="C7" s="4" t="str">
        <f>'Suivi Client'!$B7 &amp; " " &amp;'Suivi Client'!$A7</f>
        <v>ACHILLE WOJTOWIC</v>
      </c>
      <c r="D7" s="3"/>
      <c r="E7" s="3"/>
      <c r="F7" s="3"/>
      <c r="G7" s="3" t="s">
        <v>18</v>
      </c>
      <c r="H7" s="3"/>
    </row>
    <row r="8" ht="14.25" customHeight="1">
      <c r="A8" s="7" t="s">
        <v>24</v>
      </c>
      <c r="B8" s="2" t="s">
        <v>25</v>
      </c>
      <c r="C8" s="4" t="str">
        <f>'Suivi Client'!$B8 &amp; " " &amp;'Suivi Client'!$A8</f>
        <v>BASTIEN LASSERRE</v>
      </c>
      <c r="D8" s="3"/>
      <c r="E8" s="3"/>
      <c r="F8" s="3"/>
      <c r="G8" s="7" t="s">
        <v>26</v>
      </c>
      <c r="H8" s="3"/>
    </row>
    <row r="9" ht="14.25" customHeight="1">
      <c r="A9" s="3" t="s">
        <v>27</v>
      </c>
      <c r="B9" s="2" t="s">
        <v>28</v>
      </c>
      <c r="C9" s="4" t="str">
        <f>'Suivi Client'!$B9 &amp; " " &amp;'Suivi Client'!$A9</f>
        <v>HUGO LANDRIEU</v>
      </c>
      <c r="D9" s="3"/>
      <c r="E9" s="3"/>
      <c r="F9" s="3"/>
      <c r="G9" s="3" t="s">
        <v>18</v>
      </c>
      <c r="H9" s="3"/>
    </row>
    <row r="10" ht="14.25" customHeight="1">
      <c r="A10" s="3" t="s">
        <v>29</v>
      </c>
      <c r="B10" s="2" t="s">
        <v>30</v>
      </c>
      <c r="C10" s="4" t="str">
        <f>'Suivi Client'!$B10 &amp; " " &amp;'Suivi Client'!$A10</f>
        <v>CHARLOTTE COUDRET</v>
      </c>
      <c r="D10" s="3"/>
      <c r="E10" s="3"/>
      <c r="F10" s="3"/>
      <c r="G10" s="3" t="s">
        <v>18</v>
      </c>
      <c r="H10" s="3"/>
    </row>
    <row r="11" ht="14.25" customHeight="1">
      <c r="A11" s="3" t="s">
        <v>31</v>
      </c>
      <c r="B11" s="2" t="s">
        <v>32</v>
      </c>
      <c r="C11" s="4" t="str">
        <f>'Suivi Client'!$B11 &amp; " " &amp;'Suivi Client'!$A11</f>
        <v>XANTI BILBAO</v>
      </c>
      <c r="D11" s="3"/>
      <c r="E11" s="3"/>
      <c r="F11" s="3"/>
      <c r="G11" s="3" t="s">
        <v>26</v>
      </c>
      <c r="H11" s="3"/>
    </row>
    <row r="12" ht="14.25" customHeight="1">
      <c r="A12" s="3" t="s">
        <v>33</v>
      </c>
      <c r="B12" s="2" t="s">
        <v>34</v>
      </c>
      <c r="C12" s="4" t="str">
        <f>'Suivi Client'!$B12 &amp; " " &amp;'Suivi Client'!$A12</f>
        <v>CHARLES POULHES</v>
      </c>
      <c r="D12" s="3"/>
      <c r="E12" s="3"/>
      <c r="F12" s="6">
        <v>75019.0</v>
      </c>
      <c r="G12" s="3" t="s">
        <v>11</v>
      </c>
      <c r="H12" s="3"/>
    </row>
    <row r="13" ht="14.25" customHeight="1">
      <c r="A13" s="3" t="s">
        <v>35</v>
      </c>
      <c r="B13" s="2" t="s">
        <v>36</v>
      </c>
      <c r="C13" s="4" t="str">
        <f>'Suivi Client'!$B13 &amp; " " &amp;'Suivi Client'!$A13</f>
        <v>ALEXANDRE SIMON</v>
      </c>
      <c r="D13" s="3"/>
      <c r="E13" s="3"/>
      <c r="F13" s="6">
        <v>75020.0</v>
      </c>
      <c r="G13" s="3" t="s">
        <v>11</v>
      </c>
      <c r="H13" s="3"/>
    </row>
    <row r="14" ht="14.25" customHeight="1">
      <c r="A14" s="3" t="s">
        <v>37</v>
      </c>
      <c r="B14" s="2" t="s">
        <v>38</v>
      </c>
      <c r="C14" s="4" t="str">
        <f>'Suivi Client'!$B14 &amp; " " &amp;'Suivi Client'!$A14</f>
        <v>GENTZA ETXABE</v>
      </c>
      <c r="D14" s="3"/>
      <c r="E14" s="3"/>
      <c r="F14" s="3"/>
      <c r="G14" s="3" t="s">
        <v>39</v>
      </c>
      <c r="H14" s="3"/>
    </row>
    <row r="15" ht="14.25" customHeight="1">
      <c r="A15" s="3" t="s">
        <v>40</v>
      </c>
      <c r="B15" s="2" t="s">
        <v>41</v>
      </c>
      <c r="C15" s="4" t="str">
        <f>'Suivi Client'!$B15 &amp; " " &amp;'Suivi Client'!$A15</f>
        <v>BIXENTE COTINA</v>
      </c>
      <c r="D15" s="3"/>
      <c r="E15" s="3"/>
      <c r="F15" s="3"/>
      <c r="G15" s="3" t="s">
        <v>39</v>
      </c>
      <c r="H15" s="3"/>
    </row>
    <row r="16" ht="14.25" customHeight="1">
      <c r="A16" s="3" t="s">
        <v>42</v>
      </c>
      <c r="B16" s="2" t="s">
        <v>43</v>
      </c>
      <c r="C16" s="4" t="str">
        <f>'Suivi Client'!$B16 &amp; " " &amp;'Suivi Client'!$A16</f>
        <v>GABI AIZPURUA</v>
      </c>
      <c r="D16" s="3"/>
      <c r="E16" s="3"/>
      <c r="F16" s="3"/>
      <c r="G16" s="3" t="s">
        <v>21</v>
      </c>
      <c r="H16" s="3"/>
    </row>
    <row r="17" ht="14.25" customHeight="1">
      <c r="A17" s="3" t="s">
        <v>44</v>
      </c>
      <c r="B17" s="2" t="s">
        <v>45</v>
      </c>
      <c r="C17" s="4" t="str">
        <f>'Suivi Client'!$B17 &amp; " " &amp;'Suivi Client'!$A17</f>
        <v>JAIME MATESANZE</v>
      </c>
      <c r="D17" s="3"/>
      <c r="E17" s="3"/>
      <c r="F17" s="3"/>
      <c r="G17" s="3" t="s">
        <v>21</v>
      </c>
      <c r="H17" s="3"/>
    </row>
    <row r="18" ht="14.25" customHeight="1">
      <c r="A18" s="3" t="s">
        <v>46</v>
      </c>
      <c r="B18" s="2" t="s">
        <v>47</v>
      </c>
      <c r="C18" s="4" t="str">
        <f>'Suivi Client'!$B18 &amp; " " &amp;'Suivi Client'!$A18</f>
        <v>JOELLE DUBARBIER</v>
      </c>
      <c r="D18" s="3"/>
      <c r="E18" s="3"/>
      <c r="F18" s="3"/>
      <c r="G18" s="3" t="s">
        <v>18</v>
      </c>
      <c r="H18" s="3"/>
    </row>
    <row r="19" ht="14.25" customHeight="1">
      <c r="A19" s="3" t="s">
        <v>48</v>
      </c>
      <c r="B19" s="2" t="s">
        <v>49</v>
      </c>
      <c r="C19" s="4" t="str">
        <f>'Suivi Client'!$B19 &amp; " " &amp;'Suivi Client'!$A19</f>
        <v>Gregory Cireddu</v>
      </c>
      <c r="D19" s="3"/>
      <c r="E19" s="3"/>
      <c r="F19" s="3">
        <v>57.0</v>
      </c>
      <c r="G19" s="3" t="s">
        <v>50</v>
      </c>
      <c r="H19" s="3"/>
    </row>
    <row r="20" ht="14.25" customHeight="1">
      <c r="A20" s="3" t="s">
        <v>51</v>
      </c>
      <c r="B20" s="2" t="s">
        <v>52</v>
      </c>
      <c r="C20" s="4" t="str">
        <f>'Suivi Client'!$B20 &amp; " " &amp;'Suivi Client'!$A20</f>
        <v>Philippe  Gintrand</v>
      </c>
      <c r="D20" s="3"/>
      <c r="E20" s="3" t="s">
        <v>53</v>
      </c>
      <c r="F20" s="3">
        <v>26240.0</v>
      </c>
      <c r="G20" s="3" t="s">
        <v>54</v>
      </c>
      <c r="H20" s="3"/>
    </row>
    <row r="21" ht="14.25" customHeight="1">
      <c r="A21" s="3" t="s">
        <v>55</v>
      </c>
      <c r="B21" s="2" t="s">
        <v>56</v>
      </c>
      <c r="C21" s="4" t="str">
        <f>'Suivi Client'!$B21 &amp; " " &amp;'Suivi Client'!$A21</f>
        <v>Pascal  Fassaert </v>
      </c>
      <c r="D21" s="3"/>
      <c r="E21" s="3" t="s">
        <v>57</v>
      </c>
      <c r="F21" s="3">
        <v>10170.0</v>
      </c>
      <c r="G21" s="3" t="s">
        <v>58</v>
      </c>
      <c r="H21" s="3"/>
    </row>
    <row r="22" ht="14.25" customHeight="1">
      <c r="A22" s="3" t="s">
        <v>59</v>
      </c>
      <c r="B22" s="2" t="s">
        <v>60</v>
      </c>
      <c r="C22" s="4" t="str">
        <f>'Suivi Client'!$B22 &amp; " " &amp;'Suivi Client'!$A22</f>
        <v>Eric Soulhac</v>
      </c>
      <c r="D22" s="3"/>
      <c r="E22" s="3" t="s">
        <v>61</v>
      </c>
      <c r="F22" s="3">
        <v>26140.0</v>
      </c>
      <c r="G22" s="3" t="s">
        <v>62</v>
      </c>
      <c r="H22" s="3"/>
    </row>
    <row r="23" ht="14.25" customHeight="1">
      <c r="A23" s="3" t="s">
        <v>63</v>
      </c>
      <c r="B23" s="2" t="s">
        <v>64</v>
      </c>
      <c r="C23" s="4" t="str">
        <f>'Suivi Client'!$B23 &amp; " " &amp;'Suivi Client'!$A23</f>
        <v>Jac/dan Bouilot</v>
      </c>
      <c r="D23" s="3"/>
      <c r="E23" s="3" t="s">
        <v>65</v>
      </c>
      <c r="F23" s="3">
        <v>26240.0</v>
      </c>
      <c r="G23" s="3" t="s">
        <v>62</v>
      </c>
      <c r="H23" s="3"/>
    </row>
    <row r="24" ht="14.25" customHeight="1">
      <c r="A24" s="3" t="s">
        <v>51</v>
      </c>
      <c r="B24" s="2"/>
      <c r="C24" s="4" t="str">
        <f>'Suivi Client'!$B24 &amp; " " &amp;'Suivi Client'!$A24</f>
        <v> Gintrand</v>
      </c>
      <c r="D24" s="3"/>
      <c r="E24" s="3"/>
      <c r="F24" s="3"/>
      <c r="G24" s="3" t="s">
        <v>66</v>
      </c>
      <c r="H24" s="3"/>
    </row>
    <row r="25" ht="14.25" customHeight="1">
      <c r="A25" s="3" t="s">
        <v>67</v>
      </c>
      <c r="B25" s="2"/>
      <c r="C25" s="4" t="str">
        <f>'Suivi Client'!$B25 &amp; " " &amp;'Suivi Client'!$A25</f>
        <v> Xantie</v>
      </c>
      <c r="D25" s="3"/>
      <c r="E25" s="3"/>
      <c r="F25" s="3"/>
      <c r="G25" s="3" t="s">
        <v>68</v>
      </c>
      <c r="H25" s="3"/>
    </row>
    <row r="26" ht="14.25" customHeight="1">
      <c r="A26" s="3" t="s">
        <v>69</v>
      </c>
      <c r="B26" s="2" t="s">
        <v>70</v>
      </c>
      <c r="C26" s="4" t="str">
        <f>'Suivi Client'!$B26 &amp; " " &amp;'Suivi Client'!$A26</f>
        <v>Jacques Morel</v>
      </c>
      <c r="D26" s="3"/>
      <c r="E26" s="3" t="s">
        <v>71</v>
      </c>
      <c r="F26" s="3">
        <v>10300.0</v>
      </c>
      <c r="G26" s="3" t="s">
        <v>72</v>
      </c>
      <c r="H26" s="3"/>
    </row>
    <row r="27" ht="14.25" customHeight="1">
      <c r="A27" s="3" t="s">
        <v>73</v>
      </c>
      <c r="B27" s="2" t="s">
        <v>74</v>
      </c>
      <c r="C27" s="4" t="str">
        <f>'Suivi Client'!$B27 &amp; " " &amp;'Suivi Client'!$A27</f>
        <v>Fassaert Jeff</v>
      </c>
      <c r="D27" s="8"/>
      <c r="E27" s="8"/>
      <c r="F27" s="8"/>
      <c r="G27" s="3" t="s">
        <v>75</v>
      </c>
      <c r="H27" s="8"/>
    </row>
    <row r="28" ht="14.25" customHeight="1">
      <c r="A28" s="3" t="s">
        <v>55</v>
      </c>
      <c r="B28" s="2" t="s">
        <v>76</v>
      </c>
      <c r="C28" s="4" t="str">
        <f>'Suivi Client'!$B28 &amp; " " &amp;'Suivi Client'!$A28</f>
        <v>ZACHARIE Fassaert </v>
      </c>
      <c r="D28" s="3"/>
      <c r="E28" s="3"/>
      <c r="F28" s="3"/>
      <c r="G28" s="3" t="s">
        <v>11</v>
      </c>
      <c r="H28" s="3"/>
    </row>
    <row r="29" ht="14.25" customHeight="1">
      <c r="A29" s="3" t="s">
        <v>77</v>
      </c>
      <c r="B29" s="2" t="s">
        <v>78</v>
      </c>
      <c r="C29" s="4" t="str">
        <f>'Suivi Client'!$B29 &amp; " " &amp;'Suivi Client'!$A29</f>
        <v>LEO FISHER</v>
      </c>
      <c r="D29" s="3"/>
      <c r="E29" s="3"/>
      <c r="F29" s="3"/>
      <c r="G29" s="3" t="s">
        <v>11</v>
      </c>
      <c r="H29" s="3"/>
    </row>
    <row r="30" ht="14.25" customHeight="1">
      <c r="A30" s="9" t="s">
        <v>79</v>
      </c>
      <c r="B30" s="2" t="s">
        <v>80</v>
      </c>
      <c r="C30" s="10" t="str">
        <f>'Suivi Client'!$B30 &amp; " " &amp;'Suivi Client'!$A30</f>
        <v>cireddu camille</v>
      </c>
      <c r="G30" s="9" t="s">
        <v>81</v>
      </c>
    </row>
    <row r="31" ht="14.25" customHeight="1">
      <c r="A31" s="9" t="s">
        <v>82</v>
      </c>
      <c r="B31" s="2" t="s">
        <v>83</v>
      </c>
      <c r="C31" s="10" t="str">
        <f>'Suivi Client'!$B31 &amp; " " &amp;'Suivi Client'!$A31</f>
        <v>Dubois Jean-Louis </v>
      </c>
      <c r="D31" s="9" t="s">
        <v>84</v>
      </c>
      <c r="E31" s="9" t="s">
        <v>85</v>
      </c>
      <c r="F31" s="9">
        <v>21110.0</v>
      </c>
      <c r="G31" s="9" t="s">
        <v>86</v>
      </c>
    </row>
    <row r="32" ht="14.25" customHeight="1">
      <c r="A32" s="9" t="s">
        <v>87</v>
      </c>
      <c r="B32" s="2" t="s">
        <v>88</v>
      </c>
      <c r="C32" s="10" t="str">
        <f>'Suivi Client'!$B32 &amp; " " &amp;'Suivi Client'!$A32</f>
        <v>Aymeric Chataigner</v>
      </c>
      <c r="G32" s="9" t="s">
        <v>89</v>
      </c>
    </row>
    <row r="33" ht="14.25" customHeight="1">
      <c r="A33" s="9" t="s">
        <v>90</v>
      </c>
      <c r="B33" s="2" t="s">
        <v>91</v>
      </c>
      <c r="C33" s="10" t="str">
        <f>'Suivi Client'!$B33 &amp; " " &amp;'Suivi Client'!$A33</f>
        <v>Benoit Meon</v>
      </c>
      <c r="D33" s="9" t="s">
        <v>92</v>
      </c>
      <c r="G33" s="9" t="s">
        <v>11</v>
      </c>
    </row>
    <row r="34" ht="14.25" customHeight="1">
      <c r="A34" s="9" t="s">
        <v>93</v>
      </c>
      <c r="B34" s="2" t="s">
        <v>7</v>
      </c>
      <c r="C34" s="10" t="str">
        <f>'Suivi Client'!$B34 &amp; " " &amp;'Suivi Client'!$A34</f>
        <v>Carouge Valerie </v>
      </c>
      <c r="E34" s="9" t="s">
        <v>94</v>
      </c>
      <c r="G34" s="9" t="s">
        <v>95</v>
      </c>
    </row>
    <row r="35" ht="14.25" customHeight="1">
      <c r="A35" s="9" t="s">
        <v>7</v>
      </c>
      <c r="B35" s="2" t="s">
        <v>96</v>
      </c>
      <c r="C35" s="10" t="str">
        <f>'Suivi Client'!$B35 &amp; " " &amp;'Suivi Client'!$A35</f>
        <v>Nino Carouge</v>
      </c>
      <c r="G35" s="9" t="s">
        <v>97</v>
      </c>
    </row>
    <row r="36" ht="14.25" customHeight="1">
      <c r="A36" s="9" t="s">
        <v>98</v>
      </c>
      <c r="B36" s="2" t="s">
        <v>99</v>
      </c>
      <c r="C36" s="10" t="str">
        <f>'Suivi Client'!$B36 &amp; " " &amp;'Suivi Client'!$A36</f>
        <v>cedric jaunet</v>
      </c>
      <c r="G36" s="9" t="s">
        <v>100</v>
      </c>
    </row>
    <row r="37" ht="14.25" customHeight="1">
      <c r="A37" s="9"/>
      <c r="B37" s="2"/>
      <c r="C37" s="10" t="str">
        <f>'Suivi Client'!$B37 &amp; " " &amp;'Suivi Client'!$A37</f>
        <v> </v>
      </c>
      <c r="D37" s="9"/>
      <c r="E37" s="9"/>
      <c r="G37" s="9"/>
    </row>
    <row r="38" ht="14.25" customHeight="1">
      <c r="A38" s="9" t="s">
        <v>5</v>
      </c>
      <c r="B38" s="2" t="s">
        <v>101</v>
      </c>
      <c r="C38" s="10" t="str">
        <f>'Suivi Client'!$B38 &amp; " " &amp;'Suivi Client'!$A38</f>
        <v>Pascal Ville</v>
      </c>
      <c r="G38" s="9" t="s">
        <v>102</v>
      </c>
    </row>
    <row r="39" ht="14.25" customHeight="1">
      <c r="A39" s="9" t="s">
        <v>55</v>
      </c>
      <c r="B39" s="2" t="s">
        <v>103</v>
      </c>
      <c r="C39" s="10" t="str">
        <f>'Suivi Client'!$B39 &amp; " " &amp;'Suivi Client'!$A39</f>
        <v>MICHELLE Fassaert </v>
      </c>
      <c r="G39" s="9" t="s">
        <v>104</v>
      </c>
    </row>
    <row r="40" ht="14.25" customHeight="1">
      <c r="A40" s="9" t="s">
        <v>105</v>
      </c>
      <c r="B40" s="2" t="s">
        <v>106</v>
      </c>
      <c r="C40" s="10" t="str">
        <f>'Suivi Client'!$B40 &amp; " " &amp;'Suivi Client'!$A40</f>
        <v>JEAN MARTIN</v>
      </c>
      <c r="F40" s="9">
        <v>75019.0</v>
      </c>
      <c r="G40" s="9" t="s">
        <v>11</v>
      </c>
    </row>
    <row r="41" ht="14.25" customHeight="1">
      <c r="A41" s="9" t="s">
        <v>107</v>
      </c>
      <c r="B41" s="2" t="s">
        <v>108</v>
      </c>
      <c r="C41" s="10" t="str">
        <f>'Suivi Client'!$B41 &amp; " " &amp;'Suivi Client'!$A41</f>
        <v>Stanislas BOUTMY</v>
      </c>
      <c r="D41" s="11" t="s">
        <v>109</v>
      </c>
      <c r="G41" s="11" t="s">
        <v>11</v>
      </c>
    </row>
    <row r="42" ht="14.25" customHeight="1">
      <c r="A42" s="9" t="s">
        <v>110</v>
      </c>
      <c r="C42" s="10" t="str">
        <f>'Suivi Client'!$B42 &amp; " " &amp;'Suivi Client'!$A42</f>
        <v> CONSO</v>
      </c>
    </row>
    <row r="43" ht="14.25" customHeight="1">
      <c r="A43" s="9" t="s">
        <v>111</v>
      </c>
      <c r="C43" s="10" t="str">
        <f>'Suivi Client'!$B43 &amp; " " &amp;'Suivi Client'!$A43</f>
        <v> CADEAU</v>
      </c>
    </row>
    <row r="44" ht="14.25" customHeight="1">
      <c r="A44" s="9" t="s">
        <v>112</v>
      </c>
      <c r="B44" s="2" t="s">
        <v>113</v>
      </c>
      <c r="C44" s="10" t="str">
        <f>'Suivi Client'!$B44 &amp; " " &amp;'Suivi Client'!$A44</f>
        <v>Valerie Franck Gautier </v>
      </c>
      <c r="D44" s="9" t="s">
        <v>114</v>
      </c>
      <c r="F44" s="9">
        <v>77.0</v>
      </c>
      <c r="G44" s="9" t="s">
        <v>115</v>
      </c>
    </row>
    <row r="45" ht="14.25" customHeight="1">
      <c r="A45" s="9" t="s">
        <v>116</v>
      </c>
      <c r="B45" s="2" t="s">
        <v>117</v>
      </c>
      <c r="C45" s="10" t="str">
        <f>'Suivi Client'!$B45 &amp; " " &amp;'Suivi Client'!$A45</f>
        <v>amie dubarbier Francoise</v>
      </c>
    </row>
    <row r="46" ht="14.25" customHeight="1">
      <c r="A46" s="9" t="s">
        <v>118</v>
      </c>
      <c r="B46" s="2" t="s">
        <v>119</v>
      </c>
      <c r="C46" s="10" t="str">
        <f>'Suivi Client'!$B46 &amp; " " &amp;'Suivi Client'!$A46</f>
        <v>LOVERGNE Sandre</v>
      </c>
      <c r="G46" s="9" t="s">
        <v>11</v>
      </c>
    </row>
    <row r="47" ht="14.25" customHeight="1">
      <c r="A47" s="9" t="s">
        <v>120</v>
      </c>
      <c r="B47" s="2" t="s">
        <v>121</v>
      </c>
      <c r="C47" s="10" t="str">
        <f>'Suivi Client'!$B47 &amp; " " &amp;'Suivi Client'!$A47</f>
        <v>Gauchet Lucile</v>
      </c>
    </row>
    <row r="48" ht="14.25" customHeight="1">
      <c r="A48" s="9" t="s">
        <v>122</v>
      </c>
      <c r="B48" s="2" t="s">
        <v>123</v>
      </c>
      <c r="C48" s="10" t="str">
        <f>'Suivi Client'!$B48 &amp; " " &amp;'Suivi Client'!$A48</f>
        <v>Philémon Parent </v>
      </c>
      <c r="F48" s="9">
        <v>51200.0</v>
      </c>
      <c r="G48" s="9" t="s">
        <v>124</v>
      </c>
    </row>
    <row r="49" ht="14.25" customHeight="1">
      <c r="A49" s="9" t="s">
        <v>125</v>
      </c>
      <c r="B49" s="2" t="s">
        <v>126</v>
      </c>
      <c r="C49" s="10" t="str">
        <f>'Suivi Client'!$B49 &amp; " " &amp;'Suivi Client'!$A49</f>
        <v>Paul Briest</v>
      </c>
      <c r="D49" s="11" t="s">
        <v>127</v>
      </c>
      <c r="E49" s="11" t="s">
        <v>128</v>
      </c>
      <c r="F49" s="11">
        <v>51150.0</v>
      </c>
      <c r="G49" s="9" t="s">
        <v>129</v>
      </c>
    </row>
    <row r="50" ht="14.25" customHeight="1">
      <c r="A50" s="9" t="s">
        <v>130</v>
      </c>
      <c r="B50" s="2" t="s">
        <v>131</v>
      </c>
      <c r="C50" s="10" t="str">
        <f>'Suivi Client'!$B50 &amp; " " &amp;'Suivi Client'!$A50</f>
        <v>James Carouge </v>
      </c>
      <c r="D50" s="11" t="s">
        <v>132</v>
      </c>
      <c r="E50" s="11" t="s">
        <v>133</v>
      </c>
      <c r="F50" s="11">
        <v>51190.0</v>
      </c>
      <c r="G50" s="11" t="s">
        <v>134</v>
      </c>
    </row>
    <row r="51" ht="14.25" customHeight="1">
      <c r="A51" s="9" t="s">
        <v>135</v>
      </c>
      <c r="B51" s="2" t="s">
        <v>136</v>
      </c>
      <c r="C51" s="10" t="str">
        <f>'Suivi Client'!$B51 &amp; " " &amp;'Suivi Client'!$A51</f>
        <v>Regis Paquin</v>
      </c>
      <c r="E51" s="9" t="s">
        <v>137</v>
      </c>
      <c r="F51" s="9">
        <v>77177.0</v>
      </c>
      <c r="G51" s="9" t="s">
        <v>115</v>
      </c>
    </row>
    <row r="52" ht="14.25" customHeight="1">
      <c r="A52" s="9" t="s">
        <v>138</v>
      </c>
      <c r="B52" s="2" t="s">
        <v>139</v>
      </c>
      <c r="C52" s="10" t="str">
        <f>'Suivi Client'!$B52 &amp; " " &amp;'Suivi Client'!$A52</f>
        <v>Aurelien Tracol</v>
      </c>
      <c r="E52" s="9" t="s">
        <v>140</v>
      </c>
      <c r="F52" s="9">
        <v>7290.0</v>
      </c>
      <c r="G52" s="9" t="s">
        <v>141</v>
      </c>
    </row>
    <row r="53" ht="14.25" customHeight="1">
      <c r="A53" s="9" t="s">
        <v>55</v>
      </c>
      <c r="B53" s="2" t="s">
        <v>142</v>
      </c>
      <c r="C53" s="10" t="str">
        <f>'Suivi Client'!$B53 &amp; " " &amp;'Suivi Client'!$A53</f>
        <v>Yannick Fassaert </v>
      </c>
      <c r="G53" s="9" t="s">
        <v>143</v>
      </c>
    </row>
    <row r="54" ht="14.25" customHeight="1">
      <c r="A54" s="9" t="s">
        <v>90</v>
      </c>
      <c r="B54" s="2" t="s">
        <v>144</v>
      </c>
      <c r="C54" s="10" t="str">
        <f>'Suivi Client'!$B54 &amp; " " &amp;'Suivi Client'!$A54</f>
        <v>François Meon</v>
      </c>
      <c r="E54" s="9" t="s">
        <v>145</v>
      </c>
      <c r="F54" s="9">
        <v>42480.0</v>
      </c>
      <c r="G54" s="9" t="s">
        <v>146</v>
      </c>
    </row>
    <row r="55" ht="14.25" customHeight="1">
      <c r="A55" s="9" t="s">
        <v>147</v>
      </c>
      <c r="B55" s="2" t="s">
        <v>70</v>
      </c>
      <c r="C55" s="10" t="str">
        <f>'Suivi Client'!$B55 &amp; " " &amp;'Suivi Client'!$A55</f>
        <v>Jacques Girard </v>
      </c>
      <c r="E55" s="9" t="s">
        <v>148</v>
      </c>
      <c r="F55" s="9">
        <v>26240.0</v>
      </c>
      <c r="G55" s="9" t="s">
        <v>149</v>
      </c>
    </row>
    <row r="56" ht="14.25" customHeight="1">
      <c r="A56" s="9" t="s">
        <v>150</v>
      </c>
      <c r="B56" s="2" t="s">
        <v>151</v>
      </c>
      <c r="C56" s="10" t="str">
        <f>'Suivi Client'!$B56 &amp; " " &amp;'Suivi Client'!$A56</f>
        <v>Zimmermann Camille </v>
      </c>
      <c r="G56" s="9" t="s">
        <v>152</v>
      </c>
    </row>
    <row r="57" ht="14.25" customHeight="1">
      <c r="A57" s="9" t="s">
        <v>153</v>
      </c>
      <c r="C57" s="10" t="str">
        <f>'Suivi Client'!$B57 &amp; " " &amp;'Suivi Client'!$A57</f>
        <v> Garval /Amaral</v>
      </c>
      <c r="G57" s="9" t="s">
        <v>154</v>
      </c>
    </row>
    <row r="58" ht="14.25" customHeight="1">
      <c r="A58" s="9" t="s">
        <v>155</v>
      </c>
      <c r="B58" s="2"/>
      <c r="C58" s="10" t="str">
        <f>'Suivi Client'!$B58 &amp; " " &amp;'Suivi Client'!$A58</f>
        <v> Sarha</v>
      </c>
      <c r="G58" s="9" t="s">
        <v>156</v>
      </c>
    </row>
    <row r="59" ht="14.25" customHeight="1">
      <c r="A59" s="9" t="s">
        <v>157</v>
      </c>
      <c r="B59" s="2" t="s">
        <v>158</v>
      </c>
      <c r="C59" s="10" t="str">
        <f>'Suivi Client'!$B59 &amp; " " &amp;'Suivi Client'!$A59</f>
        <v>Benjamin Straubhaar</v>
      </c>
      <c r="G59" s="9" t="s">
        <v>159</v>
      </c>
    </row>
    <row r="60" ht="14.25" customHeight="1">
      <c r="A60" s="9" t="s">
        <v>160</v>
      </c>
      <c r="C60" s="10" t="str">
        <f>'Suivi Client'!$B60 &amp; " " &amp;'Suivi Client'!$A60</f>
        <v> Karine GATE</v>
      </c>
      <c r="G60" s="9" t="s">
        <v>11</v>
      </c>
    </row>
    <row r="61" ht="14.25" customHeight="1">
      <c r="A61" s="9" t="s">
        <v>161</v>
      </c>
      <c r="B61" s="2" t="s">
        <v>162</v>
      </c>
      <c r="C61" s="10" t="str">
        <f>'Suivi Client'!$B61 &amp; " " &amp;'Suivi Client'!$A61</f>
        <v>Daphne Morvan</v>
      </c>
      <c r="E61" s="9" t="s">
        <v>163</v>
      </c>
      <c r="F61" s="9">
        <v>33550.0</v>
      </c>
      <c r="G61" s="9" t="s">
        <v>164</v>
      </c>
    </row>
    <row r="62" ht="14.25" customHeight="1">
      <c r="A62" s="9" t="s">
        <v>165</v>
      </c>
      <c r="B62" s="2" t="s">
        <v>166</v>
      </c>
      <c r="C62" s="10" t="str">
        <f>'Suivi Client'!$B62 &amp; " " &amp;'Suivi Client'!$A62</f>
        <v>Fanny Surman</v>
      </c>
      <c r="F62" s="9">
        <v>31520.0</v>
      </c>
      <c r="G62" s="9" t="s">
        <v>167</v>
      </c>
    </row>
    <row r="63" ht="14.25" customHeight="1">
      <c r="A63" s="9" t="s">
        <v>168</v>
      </c>
      <c r="B63" s="2" t="s">
        <v>169</v>
      </c>
      <c r="C63" s="10" t="str">
        <f>'Suivi Client'!$B63 &amp; " " &amp;'Suivi Client'!$A63</f>
        <v>Alice Dubourdieu</v>
      </c>
      <c r="E63" s="9" t="s">
        <v>170</v>
      </c>
      <c r="F63" s="9">
        <v>40130.0</v>
      </c>
      <c r="G63" s="9" t="s">
        <v>171</v>
      </c>
    </row>
    <row r="64" ht="14.25" customHeight="1">
      <c r="A64" s="9" t="s">
        <v>172</v>
      </c>
      <c r="B64" s="2" t="s">
        <v>173</v>
      </c>
      <c r="C64" s="10" t="str">
        <f>'Suivi Client'!$B64 &amp; " " &amp;'Suivi Client'!$A64</f>
        <v>Manon Juste Aguer</v>
      </c>
      <c r="E64" s="9" t="s">
        <v>174</v>
      </c>
      <c r="F64" s="9">
        <v>40130.0</v>
      </c>
      <c r="G64" s="9" t="s">
        <v>171</v>
      </c>
    </row>
    <row r="65" ht="14.25" customHeight="1">
      <c r="A65" s="9" t="s">
        <v>175</v>
      </c>
      <c r="B65" s="2" t="s">
        <v>176</v>
      </c>
      <c r="C65" s="10" t="str">
        <f>'Suivi Client'!$B65 &amp; " " &amp;'Suivi Client'!$A65</f>
        <v>CLAVERY ISABELLE</v>
      </c>
      <c r="G65" s="9" t="s">
        <v>177</v>
      </c>
    </row>
    <row r="66" ht="14.25" customHeight="1">
      <c r="A66" s="9" t="s">
        <v>178</v>
      </c>
      <c r="C66" s="10" t="str">
        <f>'Suivi Client'!$B66 &amp; " " &amp;'Suivi Client'!$A66</f>
        <v> JULIETTE</v>
      </c>
      <c r="G66" s="9" t="s">
        <v>179</v>
      </c>
    </row>
    <row r="67" ht="14.25" customHeight="1">
      <c r="A67" s="9" t="s">
        <v>180</v>
      </c>
      <c r="B67" s="2" t="s">
        <v>181</v>
      </c>
      <c r="C67" s="10" t="str">
        <f>'Suivi Client'!$B67 &amp; " " &amp;'Suivi Client'!$A67</f>
        <v>ANNE KAES</v>
      </c>
      <c r="G67" s="9" t="s">
        <v>182</v>
      </c>
    </row>
    <row r="68" ht="14.25" customHeight="1">
      <c r="A68" s="9" t="s">
        <v>183</v>
      </c>
      <c r="B68" s="2" t="s">
        <v>184</v>
      </c>
      <c r="C68" s="10" t="str">
        <f>'Suivi Client'!$B68 &amp; " " &amp;'Suivi Client'!$A68</f>
        <v>PATRICK ABRY</v>
      </c>
      <c r="F68" s="9">
        <v>29710.0</v>
      </c>
      <c r="G68" s="9" t="s">
        <v>185</v>
      </c>
    </row>
    <row r="69" ht="14.25" customHeight="1">
      <c r="A69" s="9" t="s">
        <v>186</v>
      </c>
      <c r="B69" s="2" t="s">
        <v>187</v>
      </c>
      <c r="C69" s="10" t="str">
        <f>'Suivi Client'!$B69 &amp; " " &amp;'Suivi Client'!$A69</f>
        <v>MARIE CLAIRE LE CHAT PEAN</v>
      </c>
      <c r="G69" s="9" t="s">
        <v>188</v>
      </c>
    </row>
    <row r="70" ht="14.25" customHeight="1">
      <c r="A70" s="9" t="s">
        <v>189</v>
      </c>
      <c r="B70" s="2" t="s">
        <v>190</v>
      </c>
      <c r="C70" s="10" t="str">
        <f>'Suivi Client'!$B70 &amp; " " &amp;'Suivi Client'!$A70</f>
        <v>MARILYN SUIRE</v>
      </c>
      <c r="G70" s="9" t="s">
        <v>191</v>
      </c>
    </row>
    <row r="71" ht="14.25" customHeight="1">
      <c r="A71" s="9" t="s">
        <v>192</v>
      </c>
      <c r="B71" s="2" t="s">
        <v>193</v>
      </c>
      <c r="C71" s="10" t="str">
        <f>'Suivi Client'!$B71 &amp; " " &amp;'Suivi Client'!$A71</f>
        <v>MARIE ANGE  PARENTON</v>
      </c>
      <c r="G71" s="9" t="s">
        <v>188</v>
      </c>
    </row>
    <row r="72" ht="14.25" customHeight="1">
      <c r="A72" s="9" t="s">
        <v>194</v>
      </c>
      <c r="B72" s="2" t="s">
        <v>181</v>
      </c>
      <c r="C72" s="10" t="str">
        <f>'Suivi Client'!$B72 &amp; " " &amp;'Suivi Client'!$A72</f>
        <v>ANNE LE DOZE</v>
      </c>
      <c r="G72" s="9" t="s">
        <v>188</v>
      </c>
    </row>
    <row r="73" ht="14.25" customHeight="1">
      <c r="A73" s="9" t="s">
        <v>195</v>
      </c>
      <c r="B73" s="2" t="s">
        <v>196</v>
      </c>
      <c r="C73" s="9" t="str">
        <f>'Suivi Client'!$B73 &amp; " " &amp;'Suivi Client'!$A73</f>
        <v>Denis Coutant</v>
      </c>
      <c r="G73" s="9" t="s">
        <v>188</v>
      </c>
    </row>
    <row r="74" ht="14.25" customHeight="1">
      <c r="A74" s="9" t="s">
        <v>197</v>
      </c>
      <c r="B74" s="2" t="s">
        <v>198</v>
      </c>
      <c r="C74" s="9" t="str">
        <f>'Suivi Client'!$B74 &amp; " " &amp;'Suivi Client'!$A74</f>
        <v>Hugo Thomas </v>
      </c>
      <c r="D74" s="11" t="s">
        <v>199</v>
      </c>
      <c r="E74" s="11" t="s">
        <v>200</v>
      </c>
      <c r="G74" s="11" t="s">
        <v>11</v>
      </c>
    </row>
    <row r="75" ht="14.25" customHeight="1">
      <c r="A75" s="9" t="s">
        <v>201</v>
      </c>
      <c r="B75" s="2" t="s">
        <v>202</v>
      </c>
      <c r="C75" s="9" t="str">
        <f>'Suivi Client'!$B75 &amp; " " &amp;'Suivi Client'!$A75</f>
        <v>Cadeau Vendages</v>
      </c>
      <c r="U75" s="12"/>
      <c r="V75" s="12"/>
      <c r="W75" s="12"/>
      <c r="X75" s="12"/>
    </row>
    <row r="76" ht="14.25" customHeight="1">
      <c r="A76" s="9" t="s">
        <v>203</v>
      </c>
      <c r="C76" s="9" t="str">
        <f>'Suivi Client'!$B76 &amp; " " &amp;'Suivi Client'!$A76</f>
        <v> AGENCE LAGUILLON</v>
      </c>
      <c r="D76" s="9" t="s">
        <v>204</v>
      </c>
      <c r="E76" s="9" t="s">
        <v>205</v>
      </c>
      <c r="F76" s="9">
        <v>64700.0</v>
      </c>
      <c r="G76" s="9" t="s">
        <v>21</v>
      </c>
      <c r="U76" s="12"/>
      <c r="V76" s="12"/>
      <c r="W76" s="12"/>
      <c r="X76" s="12"/>
    </row>
    <row r="77" ht="14.25" customHeight="1">
      <c r="A77" s="9" t="s">
        <v>206</v>
      </c>
      <c r="B77" s="2" t="s">
        <v>207</v>
      </c>
      <c r="C77" s="9" t="str">
        <f>'Suivi Client'!$B77 &amp; " " &amp;'Suivi Client'!$A77</f>
        <v>Marrié Laurent</v>
      </c>
      <c r="U77" s="12"/>
      <c r="V77" s="12"/>
      <c r="W77" s="12"/>
      <c r="X77" s="12"/>
    </row>
    <row r="78" ht="14.25" customHeight="1">
      <c r="A78" s="9" t="s">
        <v>208</v>
      </c>
      <c r="C78" s="9" t="str">
        <f>'Suivi Client'!$B78 &amp; " " &amp;'Suivi Client'!$A78</f>
        <v> Anael</v>
      </c>
    </row>
    <row r="79" ht="14.25" customHeight="1">
      <c r="A79" s="9" t="s">
        <v>209</v>
      </c>
      <c r="B79" s="2" t="s">
        <v>210</v>
      </c>
      <c r="C79" s="9" t="str">
        <f>'Suivi Client'!$B79 &amp; " " &amp;'Suivi Client'!$A79</f>
        <v>Bouhours Alixane </v>
      </c>
    </row>
    <row r="80" ht="14.25" customHeight="1">
      <c r="A80" s="9" t="s">
        <v>211</v>
      </c>
      <c r="B80" s="2" t="s">
        <v>51</v>
      </c>
      <c r="C80" s="9" t="str">
        <f>'Suivi Client'!$B80 &amp; " " &amp;'Suivi Client'!$A80</f>
        <v>Gintrand Guillaume </v>
      </c>
      <c r="D80" s="9" t="s">
        <v>212</v>
      </c>
      <c r="E80" s="9" t="s">
        <v>213</v>
      </c>
      <c r="F80" s="9">
        <v>51200.0</v>
      </c>
      <c r="G80" s="9" t="s">
        <v>95</v>
      </c>
    </row>
    <row r="81" ht="14.25" customHeight="1">
      <c r="A81" s="9" t="s">
        <v>214</v>
      </c>
      <c r="B81" s="2" t="s">
        <v>215</v>
      </c>
      <c r="C81" s="9" t="str">
        <f>'Suivi Client'!$B81 &amp; " " &amp;'Suivi Client'!$A81</f>
        <v>Gintrand  Simon </v>
      </c>
      <c r="G81" s="9" t="s">
        <v>216</v>
      </c>
    </row>
    <row r="82" ht="14.25" customHeight="1">
      <c r="A82" s="13" t="s">
        <v>217</v>
      </c>
      <c r="B82" s="14" t="s">
        <v>218</v>
      </c>
      <c r="C82" s="9" t="str">
        <f>'Suivi Client'!$B82 &amp; " " &amp;'Suivi Client'!$A82</f>
        <v>Emilien Rouable RESTAURANT INATTENDU</v>
      </c>
      <c r="E82" s="11" t="s">
        <v>219</v>
      </c>
      <c r="F82" s="11">
        <v>94440.0</v>
      </c>
      <c r="G82" s="13" t="s">
        <v>220</v>
      </c>
    </row>
    <row r="83" ht="14.25" customHeight="1">
      <c r="A83" s="9" t="s">
        <v>221</v>
      </c>
      <c r="B83" s="2" t="s">
        <v>222</v>
      </c>
      <c r="C83" s="9" t="str">
        <f>'Suivi Client'!$B83 &amp; " " &amp;'Suivi Client'!$A83</f>
        <v>DELMAS MARYSE</v>
      </c>
      <c r="G83" s="9" t="s">
        <v>11</v>
      </c>
    </row>
    <row r="84" ht="14.25" customHeight="1">
      <c r="A84" s="9" t="s">
        <v>223</v>
      </c>
      <c r="B84" s="2" t="s">
        <v>224</v>
      </c>
      <c r="C84" s="9" t="str">
        <f>'Suivi Client'!$B84 &amp; " " &amp;'Suivi Client'!$A84</f>
        <v>JAUNET CEDRIC</v>
      </c>
      <c r="G84" s="9" t="s">
        <v>225</v>
      </c>
    </row>
    <row r="85" ht="14.25" customHeight="1">
      <c r="A85" s="9" t="s">
        <v>226</v>
      </c>
      <c r="B85" s="2" t="s">
        <v>227</v>
      </c>
      <c r="C85" s="9" t="str">
        <f>'Suivi Client'!$B85 &amp; " " &amp;'Suivi Client'!$A85</f>
        <v>BEAU MARIE ANNE</v>
      </c>
      <c r="G85" s="9" t="s">
        <v>228</v>
      </c>
    </row>
    <row r="86" ht="14.25" customHeight="1">
      <c r="A86" s="9" t="s">
        <v>229</v>
      </c>
      <c r="B86" s="2" t="s">
        <v>230</v>
      </c>
      <c r="C86" s="9" t="str">
        <f>'Suivi Client'!$B86 &amp; " " &amp;'Suivi Client'!$A86</f>
        <v>HALLINGER JACQUELINE</v>
      </c>
      <c r="G86" s="9" t="s">
        <v>231</v>
      </c>
    </row>
    <row r="87" ht="14.25" customHeight="1">
      <c r="A87" s="9" t="s">
        <v>232</v>
      </c>
      <c r="B87" s="2" t="s">
        <v>233</v>
      </c>
      <c r="C87" s="9" t="str">
        <f>'Suivi Client'!$B87 &amp; " " &amp;'Suivi Client'!$A87</f>
        <v>BERDOU MAXIME</v>
      </c>
      <c r="G87" s="9" t="s">
        <v>234</v>
      </c>
    </row>
    <row r="88" ht="14.25" customHeight="1">
      <c r="A88" s="9" t="s">
        <v>235</v>
      </c>
      <c r="B88" s="2" t="s">
        <v>236</v>
      </c>
      <c r="C88" s="9" t="str">
        <f>'Suivi Client'!$B88 &amp; " " &amp;'Suivi Client'!$A88</f>
        <v>GONDRE JEAN  CHRISTOPHE</v>
      </c>
      <c r="D88" s="9" t="s">
        <v>237</v>
      </c>
      <c r="G88" s="9">
        <v>26260.0</v>
      </c>
    </row>
    <row r="89" ht="14.25" customHeight="1">
      <c r="A89" s="9" t="s">
        <v>238</v>
      </c>
      <c r="B89" s="2" t="s">
        <v>239</v>
      </c>
      <c r="C89" s="9" t="str">
        <f>'Suivi Client'!$B89 &amp; " " &amp;'Suivi Client'!$A89</f>
        <v>DUFOUR FABIENNE</v>
      </c>
      <c r="G89" s="9" t="s">
        <v>182</v>
      </c>
    </row>
    <row r="90" ht="14.25" customHeight="1">
      <c r="A90" s="9" t="s">
        <v>240</v>
      </c>
      <c r="C90" s="9" t="str">
        <f>'Suivi Client'!$B90 &amp; " " &amp;'Suivi Client'!$A90</f>
        <v> LYDIA</v>
      </c>
      <c r="G90" s="9" t="s">
        <v>182</v>
      </c>
    </row>
    <row r="91" ht="14.25" customHeight="1">
      <c r="A91" s="9" t="s">
        <v>241</v>
      </c>
      <c r="B91" s="2" t="s">
        <v>242</v>
      </c>
      <c r="C91" s="9" t="str">
        <f>'Suivi Client'!$B91 &amp; " " &amp;'Suivi Client'!$A91</f>
        <v>docteur RENZO MANFREDI</v>
      </c>
      <c r="E91" s="9" t="s">
        <v>243</v>
      </c>
      <c r="F91" s="9">
        <v>94100.0</v>
      </c>
      <c r="G91" s="9" t="s">
        <v>244</v>
      </c>
    </row>
    <row r="92" ht="14.25" customHeight="1">
      <c r="A92" s="13" t="s">
        <v>245</v>
      </c>
      <c r="B92" s="14" t="s">
        <v>181</v>
      </c>
      <c r="C92" s="9" t="str">
        <f>'Suivi Client'!$B92 &amp; " " &amp;'Suivi Client'!$A92</f>
        <v>ANNE ZUPPINGER</v>
      </c>
      <c r="G92" s="9" t="s">
        <v>18</v>
      </c>
    </row>
    <row r="93" ht="14.25" customHeight="1">
      <c r="A93" s="9" t="s">
        <v>25</v>
      </c>
      <c r="B93" s="2" t="s">
        <v>246</v>
      </c>
      <c r="C93" s="9" t="str">
        <f>'Suivi Client'!$B93 &amp; " " &amp;'Suivi Client'!$A93</f>
        <v>SEJOURNE BASTIEN</v>
      </c>
      <c r="F93" s="9">
        <v>51190.0</v>
      </c>
      <c r="G93" s="9" t="s">
        <v>134</v>
      </c>
    </row>
    <row r="94" ht="14.25" customHeight="1">
      <c r="A94" s="9" t="s">
        <v>247</v>
      </c>
      <c r="B94" s="2" t="s">
        <v>248</v>
      </c>
      <c r="C94" s="9" t="str">
        <f>'Suivi Client'!$B94 &amp; " " &amp;'Suivi Client'!$A94</f>
        <v>DE MAUPEOU Thaîs</v>
      </c>
      <c r="G94" s="9" t="s">
        <v>11</v>
      </c>
    </row>
    <row r="95" ht="14.25" customHeight="1">
      <c r="A95" s="9" t="s">
        <v>249</v>
      </c>
      <c r="B95" s="2" t="s">
        <v>250</v>
      </c>
      <c r="C95" s="9" t="str">
        <f>'Suivi Client'!$B95 &amp; " " &amp;'Suivi Client'!$A95</f>
        <v>Locquet Jeremie</v>
      </c>
      <c r="G95" s="9" t="s">
        <v>11</v>
      </c>
    </row>
    <row r="96" ht="14.25" customHeight="1">
      <c r="A96" s="9" t="s">
        <v>251</v>
      </c>
      <c r="B96" s="2" t="s">
        <v>252</v>
      </c>
      <c r="C96" s="9" t="str">
        <f>'Suivi Client'!$B96 &amp; " " &amp;'Suivi Client'!$A96</f>
        <v>DELFINI MARIE-SOPHIE</v>
      </c>
      <c r="D96" s="9" t="s">
        <v>253</v>
      </c>
      <c r="E96" s="9" t="s">
        <v>254</v>
      </c>
      <c r="F96" s="9">
        <v>75006.0</v>
      </c>
      <c r="G96" s="9" t="s">
        <v>11</v>
      </c>
    </row>
    <row r="97" ht="14.25" customHeight="1">
      <c r="A97" s="9" t="s">
        <v>255</v>
      </c>
      <c r="B97" s="2" t="s">
        <v>256</v>
      </c>
      <c r="C97" s="9" t="str">
        <f>'Suivi Client'!$B97 &amp; " " &amp;'Suivi Client'!$A97</f>
        <v>Besson Eleonore</v>
      </c>
      <c r="G97" s="9" t="s">
        <v>11</v>
      </c>
    </row>
    <row r="98" ht="14.25" customHeight="1">
      <c r="A98" s="9" t="s">
        <v>257</v>
      </c>
      <c r="B98" s="2" t="s">
        <v>258</v>
      </c>
      <c r="C98" s="9" t="str">
        <f>'Suivi Client'!$B98 &amp; " " &amp;'Suivi Client'!$A98</f>
        <v>Dumant Benedicte </v>
      </c>
      <c r="G98" s="9" t="s">
        <v>11</v>
      </c>
    </row>
    <row r="99" ht="14.25" customHeight="1">
      <c r="A99" s="9" t="s">
        <v>259</v>
      </c>
      <c r="B99" s="2" t="s">
        <v>260</v>
      </c>
      <c r="C99" s="9" t="str">
        <f>'Suivi Client'!$B99 &amp; " " &amp;'Suivi Client'!$A99</f>
        <v>BERTHOLON  SARAH</v>
      </c>
      <c r="G99" s="9" t="s">
        <v>11</v>
      </c>
    </row>
    <row r="100" ht="14.25" customHeight="1">
      <c r="A100" s="9" t="s">
        <v>261</v>
      </c>
      <c r="B100" s="2" t="s">
        <v>262</v>
      </c>
      <c r="C100" s="9" t="str">
        <f>'Suivi Client'!$B100 &amp; " " &amp;'Suivi Client'!$A100</f>
        <v>GOUBE MARIE CAPUCINE</v>
      </c>
      <c r="D100" s="9" t="s">
        <v>263</v>
      </c>
      <c r="E100" s="9" t="s">
        <v>264</v>
      </c>
      <c r="F100" s="9">
        <v>64210.0</v>
      </c>
      <c r="G100" s="9" t="s">
        <v>265</v>
      </c>
    </row>
    <row r="101" ht="14.25" customHeight="1">
      <c r="A101" s="9" t="s">
        <v>266</v>
      </c>
      <c r="B101" s="2" t="s">
        <v>267</v>
      </c>
      <c r="C101" s="9" t="str">
        <f>'Suivi Client'!$B101 &amp; " " &amp;'Suivi Client'!$A101</f>
        <v>Barnerias Philippine</v>
      </c>
      <c r="D101" s="9" t="s">
        <v>268</v>
      </c>
      <c r="E101" s="9" t="s">
        <v>269</v>
      </c>
      <c r="F101" s="9">
        <v>33200.0</v>
      </c>
      <c r="G101" s="9" t="s">
        <v>177</v>
      </c>
    </row>
    <row r="102" ht="14.25" customHeight="1">
      <c r="A102" s="9" t="s">
        <v>270</v>
      </c>
      <c r="B102" s="2" t="s">
        <v>271</v>
      </c>
      <c r="C102" s="9" t="str">
        <f>'Suivi Client'!$B102 &amp; " " &amp;'Suivi Client'!$A102</f>
        <v>Pichou Louise</v>
      </c>
      <c r="G102" s="9" t="s">
        <v>177</v>
      </c>
    </row>
    <row r="103" ht="14.25" customHeight="1">
      <c r="A103" s="9" t="s">
        <v>272</v>
      </c>
      <c r="C103" s="9" t="str">
        <f>'Suivi Client'!$B103 &amp; " " &amp;'Suivi Client'!$A103</f>
        <v> SN LAGUT</v>
      </c>
      <c r="E103" s="9">
        <v>455.0</v>
      </c>
      <c r="F103" s="9">
        <v>26600.0</v>
      </c>
      <c r="G103" s="9" t="s">
        <v>273</v>
      </c>
    </row>
    <row r="104" ht="14.25" customHeight="1">
      <c r="A104" s="9" t="s">
        <v>274</v>
      </c>
      <c r="B104" s="2" t="s">
        <v>275</v>
      </c>
      <c r="C104" s="9" t="str">
        <f>'Suivi Client'!$B104 &amp; " " &amp;'Suivi Client'!$A104</f>
        <v>PAOLA ZICCA</v>
      </c>
      <c r="E104" s="9" t="s">
        <v>276</v>
      </c>
      <c r="F104" s="13">
        <v>9100.0</v>
      </c>
      <c r="G104" s="9" t="s">
        <v>277</v>
      </c>
    </row>
    <row r="105" ht="14.25" customHeight="1">
      <c r="A105" s="9" t="s">
        <v>278</v>
      </c>
      <c r="B105" s="2" t="s">
        <v>279</v>
      </c>
      <c r="C105" s="9" t="str">
        <f>'Suivi Client'!$B105 &amp; " " &amp;'Suivi Client'!$A105</f>
        <v>NICOLA CIREDDU</v>
      </c>
      <c r="D105" s="9" t="s">
        <v>280</v>
      </c>
      <c r="F105" s="13">
        <v>9040.0</v>
      </c>
      <c r="G105" s="9" t="s">
        <v>281</v>
      </c>
      <c r="H105" s="9">
        <v>3.406966064E9</v>
      </c>
    </row>
    <row r="106" ht="14.25" customHeight="1">
      <c r="A106" s="9" t="s">
        <v>282</v>
      </c>
      <c r="C106" s="9" t="str">
        <f>'Suivi Client'!$B106 &amp; " " &amp;'Suivi Client'!$A106</f>
        <v> VITTORIA</v>
      </c>
      <c r="E106" s="9" t="s">
        <v>283</v>
      </c>
      <c r="F106" s="9">
        <v>9046.0</v>
      </c>
      <c r="G106" s="9" t="s">
        <v>281</v>
      </c>
    </row>
    <row r="107" ht="14.25" customHeight="1">
      <c r="A107" s="9" t="s">
        <v>274</v>
      </c>
      <c r="B107" s="2" t="s">
        <v>284</v>
      </c>
      <c r="C107" s="9" t="str">
        <f>'Suivi Client'!$B107 &amp; " " &amp;'Suivi Client'!$A107</f>
        <v>SERGIO ZICCA</v>
      </c>
      <c r="E107" s="9" t="s">
        <v>285</v>
      </c>
      <c r="F107" s="9">
        <v>9046.0</v>
      </c>
      <c r="G107" s="9" t="s">
        <v>281</v>
      </c>
    </row>
    <row r="108" ht="14.25" customHeight="1">
      <c r="A108" s="9" t="s">
        <v>278</v>
      </c>
      <c r="B108" s="2" t="s">
        <v>286</v>
      </c>
      <c r="C108" s="9" t="str">
        <f>'Suivi Client'!$B108 &amp; " " &amp;'Suivi Client'!$A108</f>
        <v>DEBORA CIREDDU</v>
      </c>
      <c r="E108" s="9" t="s">
        <v>287</v>
      </c>
      <c r="F108" s="9">
        <v>9046.0</v>
      </c>
      <c r="G108" s="9" t="s">
        <v>281</v>
      </c>
    </row>
    <row r="109" ht="14.25" customHeight="1">
      <c r="A109" s="9" t="s">
        <v>288</v>
      </c>
      <c r="B109" s="2" t="s">
        <v>289</v>
      </c>
      <c r="C109" s="9" t="str">
        <f>'Suivi Client'!$B109 &amp; " " &amp;'Suivi Client'!$A109</f>
        <v>LAURA PICCONI</v>
      </c>
      <c r="F109" s="9">
        <v>8100.0</v>
      </c>
      <c r="G109" s="9" t="s">
        <v>277</v>
      </c>
    </row>
    <row r="110" ht="14.25" customHeight="1">
      <c r="A110" s="13" t="s">
        <v>211</v>
      </c>
      <c r="B110" s="14" t="s">
        <v>290</v>
      </c>
      <c r="C110" s="9" t="str">
        <f>'Suivi Client'!$B110 &amp; " " &amp;'Suivi Client'!$A110</f>
        <v>JACKIE Guillaume </v>
      </c>
      <c r="E110" s="13" t="s">
        <v>291</v>
      </c>
      <c r="F110" s="13">
        <v>51160.0</v>
      </c>
      <c r="G110" s="13" t="s">
        <v>292</v>
      </c>
    </row>
    <row r="111" ht="14.25" customHeight="1">
      <c r="A111" s="11" t="s">
        <v>293</v>
      </c>
      <c r="B111" s="14" t="s">
        <v>294</v>
      </c>
      <c r="C111" s="9" t="str">
        <f>'Suivi Client'!$B111 &amp; " " &amp;'Suivi Client'!$A111</f>
        <v>Tony  Bocock</v>
      </c>
      <c r="D111" s="15" t="s">
        <v>295</v>
      </c>
      <c r="E111" s="16" t="s">
        <v>296</v>
      </c>
      <c r="F111" s="17">
        <v>77000.0</v>
      </c>
      <c r="G111" s="11" t="s">
        <v>297</v>
      </c>
    </row>
    <row r="112" ht="14.25" customHeight="1">
      <c r="A112" s="11" t="s">
        <v>298</v>
      </c>
      <c r="B112" s="14" t="s">
        <v>299</v>
      </c>
      <c r="C112" s="9" t="str">
        <f>'Suivi Client'!$B112 &amp; " " &amp;'Suivi Client'!$A112</f>
        <v>MARC WEBER</v>
      </c>
      <c r="D112" s="11" t="s">
        <v>300</v>
      </c>
      <c r="E112" s="11" t="s">
        <v>301</v>
      </c>
      <c r="F112" s="11">
        <v>64310.0</v>
      </c>
      <c r="G112" s="11" t="s">
        <v>302</v>
      </c>
    </row>
    <row r="113" ht="14.25" customHeight="1">
      <c r="A113" s="11" t="s">
        <v>303</v>
      </c>
      <c r="B113" s="14" t="s">
        <v>304</v>
      </c>
      <c r="C113" s="9" t="str">
        <f>'Suivi Client'!$B113 &amp; " " &amp;'Suivi Client'!$A113</f>
        <v>SEVERINE PAQUIN</v>
      </c>
      <c r="E113" s="11" t="s">
        <v>305</v>
      </c>
      <c r="F113" s="11">
        <v>77184.0</v>
      </c>
      <c r="G113" s="11" t="s">
        <v>306</v>
      </c>
    </row>
    <row r="114" ht="14.25" customHeight="1">
      <c r="A114" s="11" t="s">
        <v>307</v>
      </c>
      <c r="B114" s="14" t="s">
        <v>308</v>
      </c>
      <c r="C114" s="9" t="str">
        <f>'Suivi Client'!$B114 &amp; " " &amp;'Suivi Client'!$A114</f>
        <v>ROBERTO ANEDDA</v>
      </c>
      <c r="G114" s="11" t="s">
        <v>309</v>
      </c>
    </row>
    <row r="115" ht="14.25" customHeight="1">
      <c r="A115" s="11" t="s">
        <v>310</v>
      </c>
      <c r="B115" s="14" t="s">
        <v>311</v>
      </c>
      <c r="C115" s="9" t="str">
        <f>'Suivi Client'!$B115 &amp; " " &amp;'Suivi Client'!$A115</f>
        <v>CLAUDE FORGET</v>
      </c>
      <c r="G115" s="11" t="s">
        <v>312</v>
      </c>
    </row>
    <row r="116" ht="14.25" customHeight="1">
      <c r="A116" s="11" t="s">
        <v>313</v>
      </c>
      <c r="B116" s="14" t="s">
        <v>314</v>
      </c>
      <c r="C116" s="9" t="str">
        <f>'Suivi Client'!$B116 &amp; " " &amp;'Suivi Client'!$A116</f>
        <v>MARIA TERESA MASCARELLO</v>
      </c>
      <c r="G116" s="11" t="s">
        <v>315</v>
      </c>
    </row>
    <row r="117" ht="14.25" customHeight="1">
      <c r="A117" s="11" t="s">
        <v>316</v>
      </c>
      <c r="B117" s="14" t="s">
        <v>317</v>
      </c>
      <c r="C117" s="9" t="str">
        <f>'Suivi Client'!$B117 &amp; " " &amp;'Suivi Client'!$A117</f>
        <v>THIBAULT DE SAINT PRIEST</v>
      </c>
      <c r="D117" s="11" t="s">
        <v>318</v>
      </c>
      <c r="E117" s="11" t="s">
        <v>319</v>
      </c>
      <c r="F117" s="11">
        <v>56740.0</v>
      </c>
      <c r="G117" s="11" t="s">
        <v>320</v>
      </c>
      <c r="H117" s="11">
        <v>6.86156645E8</v>
      </c>
    </row>
    <row r="118" ht="14.25" customHeight="1">
      <c r="A118" s="11" t="s">
        <v>321</v>
      </c>
      <c r="B118" s="14" t="s">
        <v>322</v>
      </c>
      <c r="C118" s="9" t="str">
        <f>'Suivi Client'!$B118 &amp; " " &amp;'Suivi Client'!$A118</f>
        <v>REMI PATIES</v>
      </c>
      <c r="F118" s="11">
        <v>800.0</v>
      </c>
      <c r="G118" s="11" t="s">
        <v>323</v>
      </c>
      <c r="H118" s="11">
        <v>6.6749811E8</v>
      </c>
    </row>
    <row r="119" ht="14.25" customHeight="1">
      <c r="A119" s="11" t="s">
        <v>324</v>
      </c>
      <c r="B119" s="14" t="s">
        <v>325</v>
      </c>
      <c r="C119" s="9" t="str">
        <f>'Suivi Client'!$B119 &amp; " " &amp;'Suivi Client'!$A119</f>
        <v>JULIE CARRE</v>
      </c>
      <c r="D119" s="11" t="s">
        <v>326</v>
      </c>
      <c r="E119" s="11" t="s">
        <v>327</v>
      </c>
      <c r="F119" s="11">
        <v>51530.0</v>
      </c>
      <c r="G119" s="11" t="s">
        <v>328</v>
      </c>
      <c r="H119" s="11">
        <v>6.80879958E8</v>
      </c>
    </row>
    <row r="120" ht="14.25" customHeight="1">
      <c r="A120" s="11" t="s">
        <v>329</v>
      </c>
      <c r="C120" s="9" t="str">
        <f>'Suivi Client'!$B120 &amp; " " &amp;'Suivi Client'!$A120</f>
        <v> DEBBIE</v>
      </c>
      <c r="D120" s="11" t="s">
        <v>330</v>
      </c>
      <c r="G120" s="11" t="s">
        <v>331</v>
      </c>
    </row>
    <row r="121" ht="14.25" customHeight="1">
      <c r="B121" s="14" t="s">
        <v>332</v>
      </c>
      <c r="C121" s="9" t="str">
        <f>'Suivi Client'!$B121 &amp; " " &amp;'Suivi Client'!$A121</f>
        <v>GABRIELLE </v>
      </c>
      <c r="G121" s="11" t="s">
        <v>11</v>
      </c>
    </row>
    <row r="122" ht="14.25" customHeight="1">
      <c r="A122" s="11" t="s">
        <v>333</v>
      </c>
      <c r="B122" s="14" t="s">
        <v>334</v>
      </c>
      <c r="C122" s="9" t="str">
        <f>'Suivi Client'!$B122 &amp; " " &amp;'Suivi Client'!$A122</f>
        <v>YOUNES CHAKROUN</v>
      </c>
      <c r="D122" s="11" t="s">
        <v>335</v>
      </c>
      <c r="G122" s="11" t="s">
        <v>156</v>
      </c>
    </row>
    <row r="123" ht="14.25" customHeight="1">
      <c r="A123" s="11" t="s">
        <v>336</v>
      </c>
      <c r="B123" s="14" t="s">
        <v>337</v>
      </c>
      <c r="C123" s="9" t="str">
        <f>'Suivi Client'!$B123 &amp; " " &amp;'Suivi Client'!$A123</f>
        <v>PIERRE LEROUX</v>
      </c>
      <c r="D123" s="11" t="s">
        <v>338</v>
      </c>
      <c r="G123" s="11" t="s">
        <v>156</v>
      </c>
    </row>
    <row r="124" ht="14.25" customHeight="1">
      <c r="A124" s="11" t="s">
        <v>339</v>
      </c>
      <c r="B124" s="14" t="s">
        <v>175</v>
      </c>
      <c r="C124" s="9" t="str">
        <f>'Suivi Client'!$B124 &amp; " " &amp;'Suivi Client'!$A124</f>
        <v>ISABELLE ELISSALDE</v>
      </c>
      <c r="D124" s="11" t="s">
        <v>340</v>
      </c>
      <c r="E124" s="11" t="s">
        <v>341</v>
      </c>
      <c r="F124" s="11">
        <v>64210.0</v>
      </c>
      <c r="G124" s="11" t="s">
        <v>342</v>
      </c>
      <c r="H124" s="11">
        <v>6.28344511E8</v>
      </c>
    </row>
    <row r="125" ht="14.25" customHeight="1">
      <c r="A125" s="11" t="s">
        <v>343</v>
      </c>
      <c r="B125" s="14" t="s">
        <v>184</v>
      </c>
      <c r="C125" s="9" t="str">
        <f>'Suivi Client'!$B125 &amp; " " &amp;'Suivi Client'!$A125</f>
        <v>PATRICK CROCHET</v>
      </c>
      <c r="D125" s="11" t="s">
        <v>344</v>
      </c>
      <c r="H125" s="11">
        <v>6.87512339E8</v>
      </c>
    </row>
    <row r="126" ht="14.25" customHeight="1">
      <c r="A126" s="11" t="s">
        <v>345</v>
      </c>
      <c r="B126" s="14" t="s">
        <v>290</v>
      </c>
      <c r="C126" s="9" t="str">
        <f>'Suivi Client'!$B126 &amp; " " &amp;'Suivi Client'!$A126</f>
        <v>JACKIE GUILLAUME</v>
      </c>
      <c r="E126" s="11" t="s">
        <v>346</v>
      </c>
      <c r="F126" s="11">
        <v>51160.0</v>
      </c>
      <c r="G126" s="11" t="s">
        <v>292</v>
      </c>
      <c r="H126" s="11">
        <v>3.26582478E8</v>
      </c>
    </row>
    <row r="127" ht="14.25" customHeight="1">
      <c r="A127" s="11" t="s">
        <v>183</v>
      </c>
      <c r="B127" s="14" t="s">
        <v>347</v>
      </c>
      <c r="C127" s="9" t="str">
        <f>'Suivi Client'!$B127 &amp; " " &amp;'Suivi Client'!$A127</f>
        <v>CHRISTINE ABRY</v>
      </c>
      <c r="D127" s="11" t="s">
        <v>348</v>
      </c>
      <c r="E127" s="11" t="s">
        <v>349</v>
      </c>
      <c r="F127" s="11">
        <v>29710.0</v>
      </c>
      <c r="G127" s="11" t="s">
        <v>350</v>
      </c>
      <c r="H127" s="11">
        <v>6.8680309E8</v>
      </c>
    </row>
    <row r="128" ht="14.25" customHeight="1">
      <c r="A128" s="11" t="s">
        <v>351</v>
      </c>
      <c r="B128" s="14" t="s">
        <v>259</v>
      </c>
      <c r="C128" s="9" t="str">
        <f>'Suivi Client'!$B128 &amp; " " &amp;'Suivi Client'!$A128</f>
        <v>SARAH BLIN</v>
      </c>
      <c r="E128" s="11" t="s">
        <v>352</v>
      </c>
      <c r="F128" s="11">
        <v>28150.0</v>
      </c>
      <c r="G128" s="11" t="s">
        <v>353</v>
      </c>
    </row>
    <row r="129" ht="14.25" customHeight="1">
      <c r="A129" s="11" t="s">
        <v>354</v>
      </c>
      <c r="B129" s="14" t="s">
        <v>355</v>
      </c>
      <c r="C129" s="9" t="str">
        <f>'Suivi Client'!$B129 &amp; " " &amp;'Suivi Client'!$A129</f>
        <v>VICTOIRE SCHMITT</v>
      </c>
      <c r="D129" s="11" t="s">
        <v>356</v>
      </c>
      <c r="E129" s="11" t="s">
        <v>357</v>
      </c>
      <c r="F129" s="11">
        <v>33110.0</v>
      </c>
      <c r="G129" s="11" t="s">
        <v>358</v>
      </c>
      <c r="H129" s="11">
        <v>6.25463048E8</v>
      </c>
    </row>
    <row r="130" ht="14.25" customHeight="1">
      <c r="A130" s="11" t="s">
        <v>359</v>
      </c>
      <c r="B130" s="14" t="s">
        <v>360</v>
      </c>
      <c r="C130" s="9" t="str">
        <f>'Suivi Client'!$B130 &amp; " " &amp;'Suivi Client'!$A130</f>
        <v>CHRITOPHE TRILLOT</v>
      </c>
      <c r="D130" s="11" t="s">
        <v>361</v>
      </c>
      <c r="E130" s="11" t="s">
        <v>362</v>
      </c>
      <c r="F130" s="11">
        <v>92400.0</v>
      </c>
      <c r="G130" s="11" t="s">
        <v>363</v>
      </c>
    </row>
    <row r="131" ht="14.25" customHeight="1">
      <c r="A131" s="11" t="s">
        <v>364</v>
      </c>
      <c r="B131" s="14" t="s">
        <v>175</v>
      </c>
      <c r="C131" s="9" t="str">
        <f>'Suivi Client'!$B131 &amp; " " &amp;'Suivi Client'!$A131</f>
        <v>ISABELLE PASSA</v>
      </c>
      <c r="D131" s="11" t="s">
        <v>365</v>
      </c>
      <c r="E131" s="11" t="s">
        <v>366</v>
      </c>
      <c r="F131" s="11">
        <v>33970.0</v>
      </c>
      <c r="G131" s="11" t="s">
        <v>367</v>
      </c>
      <c r="H131" s="11">
        <v>6.62069973E8</v>
      </c>
    </row>
    <row r="132" ht="14.25" customHeight="1">
      <c r="A132" s="11" t="s">
        <v>368</v>
      </c>
      <c r="B132" s="14" t="s">
        <v>369</v>
      </c>
      <c r="C132" s="9" t="str">
        <f>'Suivi Client'!$B132 &amp; " " &amp;'Suivi Client'!$A132</f>
        <v>SCM MEDICALE INSTITUT DU SPO OLIVIER SELVA </v>
      </c>
      <c r="E132" s="11" t="s">
        <v>370</v>
      </c>
      <c r="F132" s="11">
        <v>51420.0</v>
      </c>
      <c r="G132" s="11" t="s">
        <v>371</v>
      </c>
    </row>
    <row r="133" ht="14.25" customHeight="1">
      <c r="A133" s="11" t="s">
        <v>372</v>
      </c>
      <c r="B133" s="14" t="s">
        <v>299</v>
      </c>
      <c r="C133" s="9" t="str">
        <f>'Suivi Client'!$B133 &amp; " " &amp;'Suivi Client'!$A133</f>
        <v>MARC LEFORT</v>
      </c>
      <c r="E133" s="11" t="s">
        <v>373</v>
      </c>
      <c r="F133" s="11">
        <v>6723.0</v>
      </c>
      <c r="G133" s="11" t="s">
        <v>374</v>
      </c>
    </row>
    <row r="134" ht="14.25" customHeight="1">
      <c r="A134" s="11" t="s">
        <v>330</v>
      </c>
      <c r="C134" s="9" t="str">
        <f>'Suivi Client'!$B134 &amp; " " &amp;'Suivi Client'!$A134</f>
        <v> AIRBNB</v>
      </c>
    </row>
    <row r="135" ht="14.25" customHeight="1">
      <c r="A135" s="11" t="s">
        <v>375</v>
      </c>
      <c r="B135" s="14" t="s">
        <v>376</v>
      </c>
      <c r="C135" s="9" t="str">
        <f>'Suivi Client'!$B135 &amp; " " &amp;'Suivi Client'!$A135</f>
        <v>DANIEL ACRES</v>
      </c>
      <c r="D135" s="11" t="s">
        <v>377</v>
      </c>
      <c r="E135" s="11" t="s">
        <v>378</v>
      </c>
      <c r="F135" s="11">
        <v>53045.0</v>
      </c>
      <c r="G135" s="11" t="s">
        <v>379</v>
      </c>
      <c r="H135" s="11" t="s">
        <v>380</v>
      </c>
    </row>
    <row r="136" ht="14.25" customHeight="1">
      <c r="A136" s="11" t="s">
        <v>381</v>
      </c>
      <c r="B136" s="14" t="s">
        <v>382</v>
      </c>
      <c r="C136" s="9" t="str">
        <f>'Suivi Client'!$B136 &amp; " " &amp;'Suivi Client'!$A136</f>
        <v>MICHEL LOVINE </v>
      </c>
      <c r="G136" s="11" t="s">
        <v>383</v>
      </c>
    </row>
    <row r="137" ht="14.25" customHeight="1">
      <c r="A137" s="11" t="s">
        <v>384</v>
      </c>
      <c r="B137" s="14" t="s">
        <v>385</v>
      </c>
      <c r="C137" s="9" t="str">
        <f>'Suivi Client'!$B137 &amp; " " &amp;'Suivi Client'!$A137</f>
        <v>SOPHIE AVRIL</v>
      </c>
      <c r="G137" s="11" t="s">
        <v>383</v>
      </c>
    </row>
    <row r="138" ht="14.25" customHeight="1">
      <c r="A138" s="11" t="s">
        <v>183</v>
      </c>
      <c r="B138" s="14" t="s">
        <v>386</v>
      </c>
      <c r="C138" s="9" t="str">
        <f>'Suivi Client'!$B138 &amp; " " &amp;'Suivi Client'!$A138</f>
        <v>SOLENE ABRY</v>
      </c>
      <c r="D138" s="11" t="s">
        <v>387</v>
      </c>
      <c r="E138" s="11" t="s">
        <v>388</v>
      </c>
      <c r="F138" s="11">
        <v>38650.0</v>
      </c>
      <c r="G138" s="11" t="s">
        <v>389</v>
      </c>
      <c r="H138" s="11">
        <v>6.74397342E8</v>
      </c>
    </row>
    <row r="139" ht="14.25" customHeight="1">
      <c r="A139" s="11" t="s">
        <v>390</v>
      </c>
      <c r="C139" s="9" t="str">
        <f>'Suivi Client'!$B139 &amp; " " &amp;'Suivi Client'!$A139</f>
        <v> REMY</v>
      </c>
    </row>
    <row r="140" ht="14.25" customHeight="1">
      <c r="A140" s="11" t="s">
        <v>391</v>
      </c>
      <c r="B140" s="14" t="s">
        <v>392</v>
      </c>
      <c r="C140" s="9" t="str">
        <f>'Suivi Client'!$B140 &amp; " " &amp;'Suivi Client'!$A140</f>
        <v>THOMAS BANGRATZ</v>
      </c>
      <c r="D140" s="11" t="s">
        <v>393</v>
      </c>
      <c r="E140" s="11" t="s">
        <v>394</v>
      </c>
      <c r="F140" s="11">
        <v>75017.0</v>
      </c>
      <c r="G140" s="11" t="s">
        <v>11</v>
      </c>
    </row>
    <row r="141" ht="14.25" customHeight="1">
      <c r="A141" s="11" t="s">
        <v>395</v>
      </c>
      <c r="B141" s="14" t="s">
        <v>396</v>
      </c>
      <c r="C141" s="9" t="str">
        <f>'Suivi Client'!$B141 &amp; " " &amp;'Suivi Client'!$A141</f>
        <v>Bazin Etienne</v>
      </c>
    </row>
    <row r="142" ht="14.25" customHeight="1">
      <c r="A142" s="11" t="s">
        <v>397</v>
      </c>
      <c r="B142" s="14" t="s">
        <v>398</v>
      </c>
      <c r="C142" s="9" t="str">
        <f>'Suivi Client'!$B142 &amp; " " &amp;'Suivi Client'!$A142</f>
        <v>PHILIPPE NOYARD</v>
      </c>
      <c r="D142" s="11" t="s">
        <v>399</v>
      </c>
      <c r="E142" s="11" t="s">
        <v>400</v>
      </c>
      <c r="F142" s="11">
        <v>94300.0</v>
      </c>
      <c r="G142" s="11" t="s">
        <v>401</v>
      </c>
      <c r="H142" s="11">
        <v>6.30098574E8</v>
      </c>
    </row>
    <row r="143" ht="14.25" customHeight="1">
      <c r="A143" s="11" t="s">
        <v>402</v>
      </c>
      <c r="C143" s="9" t="str">
        <f>'Suivi Client'!$B143 &amp; " " &amp;'Suivi Client'!$A143</f>
        <v> WOUT</v>
      </c>
      <c r="G143" s="11" t="s">
        <v>403</v>
      </c>
    </row>
    <row r="144" ht="14.25" customHeight="1">
      <c r="A144" s="11" t="s">
        <v>404</v>
      </c>
      <c r="B144" s="14" t="s">
        <v>405</v>
      </c>
      <c r="C144" s="9" t="str">
        <f>'Suivi Client'!$B144 &amp; " " &amp;'Suivi Client'!$A144</f>
        <v>CAMILLE BELLON</v>
      </c>
      <c r="D144" s="11" t="s">
        <v>365</v>
      </c>
      <c r="E144" s="11" t="s">
        <v>406</v>
      </c>
      <c r="F144" s="11">
        <v>33970.0</v>
      </c>
      <c r="G144" s="11" t="s">
        <v>407</v>
      </c>
      <c r="H144" s="11">
        <v>6.62069973E8</v>
      </c>
    </row>
    <row r="145" ht="14.25" customHeight="1">
      <c r="A145" s="11" t="s">
        <v>408</v>
      </c>
      <c r="B145" s="14" t="s">
        <v>409</v>
      </c>
      <c r="C145" s="9" t="str">
        <f>'Suivi Client'!$B145 &amp; " " &amp;'Suivi Client'!$A145</f>
        <v>QUARD AZDINE</v>
      </c>
      <c r="E145" s="11" t="s">
        <v>410</v>
      </c>
      <c r="F145" s="11">
        <v>75009.0</v>
      </c>
      <c r="G145" s="11" t="s">
        <v>11</v>
      </c>
    </row>
    <row r="146" ht="14.25" customHeight="1">
      <c r="B146" s="14" t="s">
        <v>411</v>
      </c>
      <c r="C146" s="9" t="str">
        <f>'Suivi Client'!$B146 &amp; " " &amp;'Suivi Client'!$A146</f>
        <v>FLORENCE </v>
      </c>
      <c r="G146" s="11" t="s">
        <v>95</v>
      </c>
      <c r="H146" s="11">
        <v>6.7021946E8</v>
      </c>
    </row>
    <row r="147" ht="14.25" customHeight="1">
      <c r="A147" s="11" t="s">
        <v>412</v>
      </c>
      <c r="C147" s="13" t="s">
        <v>413</v>
      </c>
    </row>
    <row r="148" ht="14.25" customHeight="1">
      <c r="A148" s="11" t="s">
        <v>414</v>
      </c>
      <c r="C148" s="9" t="str">
        <f>'Suivi Client'!$B148 &amp; " " &amp;'Suivi Client'!$A148</f>
        <v> DOCTEUR LEVERRIER</v>
      </c>
      <c r="E148" s="11" t="s">
        <v>415</v>
      </c>
      <c r="G148" s="11" t="s">
        <v>416</v>
      </c>
    </row>
    <row r="149" ht="14.25" customHeight="1">
      <c r="A149" s="11" t="s">
        <v>417</v>
      </c>
      <c r="C149" s="9" t="str">
        <f>'Suivi Client'!$B149 &amp; " " &amp;'Suivi Client'!$A149</f>
        <v> FOURCART CAROLINE</v>
      </c>
      <c r="E149" s="11" t="s">
        <v>418</v>
      </c>
      <c r="G149" s="11" t="s">
        <v>416</v>
      </c>
    </row>
    <row r="150" ht="14.25" customHeight="1">
      <c r="A150" s="11" t="s">
        <v>419</v>
      </c>
      <c r="C150" s="9" t="str">
        <f>'Suivi Client'!$B150 &amp; " " &amp;'Suivi Client'!$A150</f>
        <v> SARL CHAUFFE BOIS</v>
      </c>
      <c r="E150" s="11" t="s">
        <v>420</v>
      </c>
      <c r="G150" s="11" t="s">
        <v>421</v>
      </c>
    </row>
    <row r="151" ht="14.25" customHeight="1">
      <c r="A151" s="11" t="s">
        <v>422</v>
      </c>
      <c r="C151" s="9" t="str">
        <f>'Suivi Client'!$B151 &amp; " " &amp;'Suivi Client'!$A151</f>
        <v> BRASSEUR</v>
      </c>
    </row>
    <row r="152" ht="14.25" customHeight="1">
      <c r="A152" s="11" t="s">
        <v>423</v>
      </c>
      <c r="B152" s="11" t="s">
        <v>424</v>
      </c>
      <c r="C152" s="9" t="str">
        <f>'Suivi Client'!$B152 &amp; " " &amp;'Suivi Client'!$A152</f>
        <v>JEAN- MARC FISCHER</v>
      </c>
      <c r="D152" s="11" t="s">
        <v>425</v>
      </c>
      <c r="E152" s="11" t="s">
        <v>426</v>
      </c>
      <c r="G152" s="11" t="s">
        <v>427</v>
      </c>
    </row>
    <row r="153" ht="14.25" customHeight="1">
      <c r="A153" s="11" t="s">
        <v>428</v>
      </c>
      <c r="B153" s="11" t="s">
        <v>429</v>
      </c>
      <c r="C153" s="9" t="str">
        <f>'Suivi Client'!$B153 &amp; " " &amp;'Suivi Client'!$A153</f>
        <v>CAROLINE ET JEAN MICHEL BLANG</v>
      </c>
      <c r="D153" s="11" t="s">
        <v>430</v>
      </c>
      <c r="E153" s="11" t="s">
        <v>431</v>
      </c>
      <c r="G153" s="11" t="s">
        <v>432</v>
      </c>
      <c r="H153" s="11">
        <v>6.7021946E8</v>
      </c>
    </row>
    <row r="154" ht="14.25" customHeight="1">
      <c r="C154" s="9" t="str">
        <f>'Suivi Client'!$B154 &amp; " " &amp;'Suivi Client'!$A154</f>
        <v> </v>
      </c>
    </row>
    <row r="155" ht="14.25" customHeight="1">
      <c r="C155" s="9" t="str">
        <f>'Suivi Client'!$B155 &amp; " " &amp;'Suivi Client'!$A155</f>
        <v> </v>
      </c>
    </row>
    <row r="156" ht="14.25" customHeight="1">
      <c r="C156" s="9" t="str">
        <f>'Suivi Client'!$B156 &amp; " " &amp;'Suivi Client'!$A156</f>
        <v> </v>
      </c>
    </row>
    <row r="157" ht="14.25" customHeight="1">
      <c r="C157" s="9" t="str">
        <f>'Suivi Client'!$B157 &amp; " " &amp;'Suivi Client'!$A157</f>
        <v> </v>
      </c>
    </row>
    <row r="158" ht="14.25" customHeight="1">
      <c r="C158" s="9" t="str">
        <f>'Suivi Client'!$B158 &amp; " " &amp;'Suivi Client'!$A158</f>
        <v> </v>
      </c>
    </row>
    <row r="159" ht="14.25" customHeight="1">
      <c r="C159" s="9" t="str">
        <f>'Suivi Client'!$B159 &amp; " " &amp;'Suivi Client'!$A159</f>
        <v> </v>
      </c>
    </row>
    <row r="160" ht="14.25" customHeight="1">
      <c r="C160" s="9" t="str">
        <f>'Suivi Client'!$B160 &amp; " " &amp;'Suivi Client'!$A160</f>
        <v> </v>
      </c>
    </row>
    <row r="161" ht="14.25" customHeight="1">
      <c r="C161" s="9" t="str">
        <f>'Suivi Client'!$B161 &amp; " " &amp;'Suivi Client'!$A161</f>
        <v> </v>
      </c>
    </row>
    <row r="162" ht="14.25" customHeight="1">
      <c r="C162" s="9" t="str">
        <f>'Suivi Client'!$B162 &amp; " " &amp;'Suivi Client'!$A162</f>
        <v> </v>
      </c>
    </row>
    <row r="163" ht="14.25" customHeight="1">
      <c r="C163" s="9" t="str">
        <f>'Suivi Client'!$B163 &amp; " " &amp;'Suivi Client'!$A163</f>
        <v> </v>
      </c>
    </row>
    <row r="164" ht="14.25" customHeight="1">
      <c r="C164" s="9" t="str">
        <f>'Suivi Client'!$B164 &amp; " " &amp;'Suivi Client'!$A164</f>
        <v> </v>
      </c>
    </row>
    <row r="165" ht="14.25" customHeight="1">
      <c r="C165" s="9" t="str">
        <f>'Suivi Client'!$B165 &amp; " " &amp;'Suivi Client'!$A165</f>
        <v> </v>
      </c>
    </row>
    <row r="166" ht="14.25" customHeight="1">
      <c r="C166" s="9" t="str">
        <f>'Suivi Client'!$B166 &amp; " " &amp;'Suivi Client'!$A166</f>
        <v> </v>
      </c>
    </row>
    <row r="167" ht="14.25" customHeight="1">
      <c r="C167" s="9" t="str">
        <f>'Suivi Client'!$B167 &amp; " " &amp;'Suivi Client'!$A167</f>
        <v> </v>
      </c>
    </row>
    <row r="168" ht="14.25" customHeight="1">
      <c r="C168" s="9" t="str">
        <f>'Suivi Client'!$B168 &amp; " " &amp;'Suivi Client'!$A168</f>
        <v> </v>
      </c>
    </row>
    <row r="169" ht="14.25" customHeight="1">
      <c r="C169" s="9" t="str">
        <f>'Suivi Client'!$B169 &amp; " " &amp;'Suivi Client'!$A169</f>
        <v> </v>
      </c>
    </row>
    <row r="170" ht="14.25" customHeight="1">
      <c r="C170" s="9" t="str">
        <f>'Suivi Client'!$B170 &amp; " " &amp;'Suivi Client'!$A170</f>
        <v> </v>
      </c>
    </row>
    <row r="171" ht="14.25" customHeight="1">
      <c r="C171" s="9" t="str">
        <f>'Suivi Client'!$B171 &amp; " " &amp;'Suivi Client'!$A171</f>
        <v> </v>
      </c>
    </row>
    <row r="172" ht="14.25" customHeight="1">
      <c r="C172" s="9" t="str">
        <f>'Suivi Client'!$B172 &amp; " " &amp;'Suivi Client'!$A172</f>
        <v> </v>
      </c>
    </row>
    <row r="173" ht="14.25" customHeight="1">
      <c r="C173" s="9" t="str">
        <f>'Suivi Client'!$B173 &amp; " " &amp;'Suivi Client'!$A173</f>
        <v> </v>
      </c>
    </row>
    <row r="174" ht="14.25" customHeight="1">
      <c r="C174" s="9" t="str">
        <f>'Suivi Client'!$B174 &amp; " " &amp;'Suivi Client'!$A174</f>
        <v> </v>
      </c>
    </row>
    <row r="175" ht="14.25" customHeight="1">
      <c r="C175" s="9" t="str">
        <f>'Suivi Client'!$B175 &amp; " " &amp;'Suivi Client'!$A175</f>
        <v> </v>
      </c>
    </row>
    <row r="176" ht="14.25" customHeight="1">
      <c r="C176" s="9" t="str">
        <f>'Suivi Client'!$B176 &amp; " " &amp;'Suivi Client'!$A176</f>
        <v> </v>
      </c>
    </row>
    <row r="177" ht="14.25" customHeight="1">
      <c r="C177" s="9" t="str">
        <f>'Suivi Client'!$B177 &amp; " " &amp;'Suivi Client'!$A177</f>
        <v> </v>
      </c>
    </row>
    <row r="178" ht="14.25" customHeight="1">
      <c r="C178" s="9" t="str">
        <f>'Suivi Client'!$B178 &amp; " " &amp;'Suivi Client'!$A178</f>
        <v> </v>
      </c>
    </row>
    <row r="179" ht="14.25" customHeight="1">
      <c r="C179" s="9" t="str">
        <f>'Suivi Client'!$B179 &amp; " " &amp;'Suivi Client'!$A179</f>
        <v> </v>
      </c>
    </row>
    <row r="180" ht="14.25" customHeight="1">
      <c r="C180" s="9" t="str">
        <f>'Suivi Client'!$B180 &amp; " " &amp;'Suivi Client'!$A180</f>
        <v> </v>
      </c>
    </row>
    <row r="181" ht="14.25" customHeight="1">
      <c r="C181" s="9" t="str">
        <f>'Suivi Client'!$B181 &amp; " " &amp;'Suivi Client'!$A181</f>
        <v> </v>
      </c>
    </row>
    <row r="182" ht="14.25" customHeight="1">
      <c r="C182" s="9" t="str">
        <f>'Suivi Client'!$B182 &amp; " " &amp;'Suivi Client'!$A182</f>
        <v> </v>
      </c>
    </row>
    <row r="183" ht="14.25" customHeight="1">
      <c r="C183" s="9" t="str">
        <f>'Suivi Client'!$B183 &amp; " " &amp;'Suivi Client'!$A183</f>
        <v> </v>
      </c>
    </row>
    <row r="184" ht="14.25" customHeight="1">
      <c r="C184" s="9" t="str">
        <f>'Suivi Client'!$B184 &amp; " " &amp;'Suivi Client'!$A184</f>
        <v> </v>
      </c>
    </row>
    <row r="185" ht="14.25" customHeight="1">
      <c r="C185" s="9" t="str">
        <f>'Suivi Client'!$B185 &amp; " " &amp;'Suivi Client'!$A185</f>
        <v> </v>
      </c>
    </row>
    <row r="186" ht="14.25" customHeight="1">
      <c r="C186" s="9" t="str">
        <f>'Suivi Client'!$B186 &amp; " " &amp;'Suivi Client'!$A186</f>
        <v> </v>
      </c>
    </row>
    <row r="187" ht="14.25" customHeight="1">
      <c r="C187" s="9" t="str">
        <f>'Suivi Client'!$B187 &amp; " " &amp;'Suivi Client'!$A187</f>
        <v> </v>
      </c>
    </row>
    <row r="188" ht="14.25" customHeight="1">
      <c r="C188" s="9" t="str">
        <f>'Suivi Client'!$B188 &amp; " " &amp;'Suivi Client'!$A188</f>
        <v> </v>
      </c>
    </row>
    <row r="189" ht="14.25" customHeight="1">
      <c r="C189" s="9" t="str">
        <f>'Suivi Client'!$B189 &amp; " " &amp;'Suivi Client'!$A189</f>
        <v> </v>
      </c>
    </row>
    <row r="190" ht="14.25" customHeight="1">
      <c r="C190" s="9" t="str">
        <f>'Suivi Client'!$B190 &amp; " " &amp;'Suivi Client'!$A190</f>
        <v> </v>
      </c>
    </row>
    <row r="191" ht="14.25" customHeight="1">
      <c r="C191" s="9" t="str">
        <f>'Suivi Client'!$B191 &amp; " " &amp;'Suivi Client'!$A191</f>
        <v> </v>
      </c>
    </row>
    <row r="192" ht="14.25" customHeight="1">
      <c r="C192" s="9" t="str">
        <f>'Suivi Client'!$B192 &amp; " " &amp;'Suivi Client'!$A192</f>
        <v> </v>
      </c>
    </row>
    <row r="193" ht="14.25" customHeight="1">
      <c r="C193" s="9" t="str">
        <f>'Suivi Client'!$B193 &amp; " " &amp;'Suivi Client'!$A193</f>
        <v> </v>
      </c>
    </row>
    <row r="194" ht="14.25" customHeight="1">
      <c r="C194" s="9" t="str">
        <f>'Suivi Client'!$B194 &amp; " " &amp;'Suivi Client'!$A194</f>
        <v> </v>
      </c>
    </row>
    <row r="195" ht="14.25" customHeight="1">
      <c r="C195" s="9" t="str">
        <f>'Suivi Client'!$B195 &amp; " " &amp;'Suivi Client'!$A195</f>
        <v> </v>
      </c>
    </row>
    <row r="196" ht="14.25" customHeight="1">
      <c r="C196" s="9" t="str">
        <f>'Suivi Client'!$B196 &amp; " " &amp;'Suivi Client'!$A196</f>
        <v> </v>
      </c>
    </row>
    <row r="197" ht="14.25" customHeight="1">
      <c r="C197" s="9" t="str">
        <f>'Suivi Client'!$B197 &amp; " " &amp;'Suivi Client'!$A197</f>
        <v> </v>
      </c>
    </row>
    <row r="198" ht="14.25" customHeight="1">
      <c r="C198" s="9" t="str">
        <f>'Suivi Client'!$B198 &amp; " " &amp;'Suivi Client'!$A198</f>
        <v> </v>
      </c>
    </row>
    <row r="199" ht="14.25" customHeight="1">
      <c r="C199" s="9" t="str">
        <f>'Suivi Client'!$B199 &amp; " " &amp;'Suivi Client'!$A199</f>
        <v> </v>
      </c>
    </row>
    <row r="200" ht="14.25" customHeight="1">
      <c r="C200" s="9" t="str">
        <f>'Suivi Client'!$B200 &amp; " " &amp;'Suivi Client'!$A200</f>
        <v> </v>
      </c>
    </row>
    <row r="201" ht="14.25" customHeight="1">
      <c r="C201" s="9" t="str">
        <f>'Suivi Client'!$B201 &amp; " " &amp;'Suivi Client'!$A201</f>
        <v> </v>
      </c>
    </row>
    <row r="202" ht="14.25" customHeight="1">
      <c r="C202" s="9" t="str">
        <f>'Suivi Client'!$B202 &amp; " " &amp;'Suivi Client'!$A202</f>
        <v> </v>
      </c>
    </row>
    <row r="203" ht="14.25" customHeight="1">
      <c r="C203" s="9" t="str">
        <f>'Suivi Client'!$B203 &amp; " " &amp;'Suivi Client'!$A203</f>
        <v> </v>
      </c>
    </row>
    <row r="204" ht="14.25" customHeight="1">
      <c r="C204" s="9" t="str">
        <f>'Suivi Client'!$B204 &amp; " " &amp;'Suivi Client'!$A204</f>
        <v> </v>
      </c>
    </row>
    <row r="205" ht="14.25" customHeight="1">
      <c r="C205" s="9" t="str">
        <f>'Suivi Client'!$B205 &amp; " " &amp;'Suivi Client'!$A205</f>
        <v> </v>
      </c>
    </row>
    <row r="206" ht="14.25" customHeight="1">
      <c r="C206" s="9" t="str">
        <f>'Suivi Client'!$B206 &amp; " " &amp;'Suivi Client'!$A206</f>
        <v> </v>
      </c>
    </row>
    <row r="207" ht="14.25" customHeight="1">
      <c r="C207" s="9" t="str">
        <f>'Suivi Client'!$B207 &amp; " " &amp;'Suivi Client'!$A207</f>
        <v> </v>
      </c>
    </row>
    <row r="208" ht="14.25" customHeight="1">
      <c r="C208" s="9" t="str">
        <f>'Suivi Client'!$B208 &amp; " " &amp;'Suivi Client'!$A208</f>
        <v> </v>
      </c>
    </row>
    <row r="209" ht="14.25" customHeight="1">
      <c r="C209" s="9" t="str">
        <f>'Suivi Client'!$B209 &amp; " " &amp;'Suivi Client'!$A209</f>
        <v> </v>
      </c>
    </row>
    <row r="210" ht="14.25" customHeight="1">
      <c r="C210" s="9" t="str">
        <f>'Suivi Client'!$B210 &amp; " " &amp;'Suivi Client'!$A210</f>
        <v> </v>
      </c>
    </row>
    <row r="211" ht="14.25" customHeight="1">
      <c r="C211" s="9" t="str">
        <f>'Suivi Client'!$B211 &amp; " " &amp;'Suivi Client'!$A211</f>
        <v> </v>
      </c>
    </row>
    <row r="212" ht="14.25" customHeight="1">
      <c r="C212" s="9" t="str">
        <f>'Suivi Client'!$B212 &amp; " " &amp;'Suivi Client'!$A212</f>
        <v> </v>
      </c>
    </row>
    <row r="213" ht="14.25" customHeight="1">
      <c r="C213" s="9" t="str">
        <f>'Suivi Client'!$B213 &amp; " " &amp;'Suivi Client'!$A213</f>
        <v> </v>
      </c>
    </row>
    <row r="214" ht="14.25" customHeight="1">
      <c r="C214" s="9" t="str">
        <f>'Suivi Client'!$B214 &amp; " " &amp;'Suivi Client'!$A214</f>
        <v> </v>
      </c>
    </row>
    <row r="215" ht="14.25" customHeight="1">
      <c r="C215" s="9" t="str">
        <f>'Suivi Client'!$B215 &amp; " " &amp;'Suivi Client'!$A215</f>
        <v> </v>
      </c>
    </row>
    <row r="216" ht="14.25" customHeight="1">
      <c r="C216" s="9" t="str">
        <f>'Suivi Client'!$B216 &amp; " " &amp;'Suivi Client'!$A216</f>
        <v> </v>
      </c>
    </row>
    <row r="217" ht="14.25" customHeight="1">
      <c r="C217" s="9" t="str">
        <f>'Suivi Client'!$B217 &amp; " " &amp;'Suivi Client'!$A217</f>
        <v> </v>
      </c>
    </row>
    <row r="218" ht="14.25" customHeight="1">
      <c r="C218" s="9" t="str">
        <f>'Suivi Client'!$B218 &amp; " " &amp;'Suivi Client'!$A218</f>
        <v> </v>
      </c>
    </row>
    <row r="219" ht="14.25" customHeight="1">
      <c r="C219" s="9" t="str">
        <f>'Suivi Client'!$B219 &amp; " " &amp;'Suivi Client'!$A219</f>
        <v> </v>
      </c>
    </row>
    <row r="220" ht="14.25" customHeight="1">
      <c r="C220" s="9" t="str">
        <f>'Suivi Client'!$B220 &amp; " " &amp;'Suivi Client'!$A220</f>
        <v> </v>
      </c>
    </row>
    <row r="221" ht="14.25" customHeight="1">
      <c r="C221" s="9" t="str">
        <f>'Suivi Client'!$B221 &amp; " " &amp;'Suivi Client'!$A221</f>
        <v> </v>
      </c>
    </row>
    <row r="222" ht="14.25" customHeight="1">
      <c r="C222" s="9" t="str">
        <f>'Suivi Client'!$B222 &amp; " " &amp;'Suivi Client'!$A222</f>
        <v> </v>
      </c>
    </row>
    <row r="223" ht="14.25" customHeight="1">
      <c r="C223" s="9" t="str">
        <f>'Suivi Client'!$B223 &amp; " " &amp;'Suivi Client'!$A223</f>
        <v> </v>
      </c>
    </row>
    <row r="224" ht="14.25" customHeight="1">
      <c r="C224" s="9" t="str">
        <f>'Suivi Client'!$B224 &amp; " " &amp;'Suivi Client'!$A224</f>
        <v> </v>
      </c>
    </row>
    <row r="225" ht="14.25" customHeight="1">
      <c r="C225" s="9" t="str">
        <f>'Suivi Client'!$B225 &amp; " " &amp;'Suivi Client'!$A225</f>
        <v> </v>
      </c>
    </row>
    <row r="226" ht="14.25" customHeight="1">
      <c r="C226" s="9" t="str">
        <f>'Suivi Client'!$B226 &amp; " " &amp;'Suivi Client'!$A226</f>
        <v> </v>
      </c>
    </row>
    <row r="227" ht="14.25" customHeight="1">
      <c r="C227" s="9" t="str">
        <f>'Suivi Client'!$B227 &amp; " " &amp;'Suivi Client'!$A227</f>
        <v> </v>
      </c>
    </row>
    <row r="228" ht="14.25" customHeight="1">
      <c r="C228" s="9" t="str">
        <f>'Suivi Client'!$B228 &amp; " " &amp;'Suivi Client'!$A228</f>
        <v> </v>
      </c>
    </row>
    <row r="229" ht="14.25" customHeight="1">
      <c r="C229" s="9" t="str">
        <f>'Suivi Client'!$B229 &amp; " " &amp;'Suivi Client'!$A229</f>
        <v> </v>
      </c>
    </row>
    <row r="230" ht="14.25" customHeight="1">
      <c r="C230" s="9" t="str">
        <f>'Suivi Client'!$B230 &amp; " " &amp;'Suivi Client'!$A230</f>
        <v> </v>
      </c>
    </row>
    <row r="231" ht="14.25" customHeight="1">
      <c r="C231" s="9" t="str">
        <f>'Suivi Client'!$B231 &amp; " " &amp;'Suivi Client'!$A231</f>
        <v> </v>
      </c>
    </row>
    <row r="232" ht="14.25" customHeight="1">
      <c r="C232" s="9" t="str">
        <f>'Suivi Client'!$B232 &amp; " " &amp;'Suivi Client'!$A232</f>
        <v> </v>
      </c>
    </row>
    <row r="233" ht="14.25" customHeight="1">
      <c r="C233" s="9" t="str">
        <f>'Suivi Client'!$B233 &amp; " " &amp;'Suivi Client'!$A233</f>
        <v> </v>
      </c>
    </row>
    <row r="234" ht="14.25" customHeight="1">
      <c r="C234" s="9" t="str">
        <f>'Suivi Client'!$B234 &amp; " " &amp;'Suivi Client'!$A234</f>
        <v> </v>
      </c>
    </row>
    <row r="235" ht="14.25" customHeight="1">
      <c r="C235" s="9" t="str">
        <f>'Suivi Client'!$B235 &amp; " " &amp;'Suivi Client'!$A235</f>
        <v> </v>
      </c>
    </row>
    <row r="236" ht="14.25" customHeight="1">
      <c r="C236" s="9" t="str">
        <f>'Suivi Client'!$B236 &amp; " " &amp;'Suivi Client'!$A236</f>
        <v> </v>
      </c>
    </row>
    <row r="237" ht="14.25" customHeight="1">
      <c r="C237" s="9" t="str">
        <f>'Suivi Client'!$B237 &amp; " " &amp;'Suivi Client'!$A237</f>
        <v> </v>
      </c>
    </row>
    <row r="238" ht="14.25" customHeight="1">
      <c r="C238" s="9" t="str">
        <f>'Suivi Client'!$B238 &amp; " " &amp;'Suivi Client'!$A238</f>
        <v> </v>
      </c>
    </row>
    <row r="239" ht="14.25" customHeight="1">
      <c r="C239" s="9" t="str">
        <f>'Suivi Client'!$B239 &amp; " " &amp;'Suivi Client'!$A239</f>
        <v> </v>
      </c>
    </row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111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71"/>
    <col customWidth="1" min="2" max="2" width="36.43"/>
    <col customWidth="1" min="3" max="7" width="9.29"/>
    <col customWidth="1" min="8" max="8" width="14.29"/>
    <col customWidth="1" min="9" max="9" width="12.29"/>
    <col customWidth="1" min="10" max="10" width="10.29"/>
    <col customWidth="1" min="11" max="11" width="16.71"/>
    <col customWidth="1" min="12" max="12" width="13.57"/>
    <col customWidth="1" min="13" max="13" width="13.29"/>
    <col customWidth="1" min="14" max="14" width="26.43"/>
    <col customWidth="1" min="15" max="15" width="40.0"/>
    <col customWidth="1" min="16" max="18" width="28.43"/>
    <col customWidth="1" min="19" max="19" width="10.71"/>
    <col customWidth="1" min="20" max="20" width="10.86"/>
    <col customWidth="1" min="21" max="21" width="10.71"/>
  </cols>
  <sheetData>
    <row r="1" ht="23.25" customHeight="1">
      <c r="A1" s="18" t="s">
        <v>433</v>
      </c>
      <c r="B1" s="19" t="s">
        <v>434</v>
      </c>
      <c r="C1" s="19" t="s">
        <v>435</v>
      </c>
      <c r="D1" s="19" t="s">
        <v>436</v>
      </c>
      <c r="E1" s="19" t="s">
        <v>437</v>
      </c>
      <c r="F1" s="19" t="s">
        <v>438</v>
      </c>
      <c r="G1" s="19" t="s">
        <v>439</v>
      </c>
      <c r="H1" s="19"/>
      <c r="I1" s="19" t="s">
        <v>440</v>
      </c>
      <c r="J1" s="19" t="s">
        <v>441</v>
      </c>
      <c r="K1" s="19" t="s">
        <v>442</v>
      </c>
      <c r="L1" s="19" t="s">
        <v>443</v>
      </c>
      <c r="M1" s="19" t="s">
        <v>444</v>
      </c>
      <c r="N1" s="19" t="s">
        <v>445</v>
      </c>
      <c r="O1" s="19" t="s">
        <v>446</v>
      </c>
      <c r="P1" s="19" t="s">
        <v>447</v>
      </c>
      <c r="Q1" s="20"/>
      <c r="R1" s="20" t="s">
        <v>448</v>
      </c>
      <c r="S1" s="21" t="s">
        <v>449</v>
      </c>
      <c r="T1" s="22">
        <f>S2/1.2</f>
        <v>14.16666667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ht="14.25" customHeight="1">
      <c r="A2" s="23">
        <v>1.0</v>
      </c>
      <c r="B2" s="24" t="s">
        <v>450</v>
      </c>
      <c r="C2" s="25">
        <v>0.0</v>
      </c>
      <c r="D2" s="26"/>
      <c r="E2" s="26"/>
      <c r="F2" s="23"/>
      <c r="G2" s="23"/>
      <c r="H2" s="27"/>
      <c r="I2" s="27">
        <f t="shared" ref="I2:I28" si="1">IF(L2="Cadeau",0,C2*$S$2+D2*$S$3+E2*$S$4+F2*$S$5+G2*$S$6)</f>
        <v>0</v>
      </c>
      <c r="J2" s="28">
        <f t="shared" ref="J2:J28" si="2">I2/1.2</f>
        <v>0</v>
      </c>
      <c r="K2" s="29"/>
      <c r="L2" s="23"/>
      <c r="M2" s="23"/>
      <c r="N2" s="27"/>
      <c r="O2" s="23"/>
      <c r="P2" s="30"/>
      <c r="Q2" s="31"/>
      <c r="R2" s="31" t="s">
        <v>451</v>
      </c>
      <c r="S2" s="9">
        <v>17.0</v>
      </c>
    </row>
    <row r="3" ht="14.25" customHeight="1">
      <c r="A3" s="25">
        <v>2.0</v>
      </c>
      <c r="B3" s="24" t="s">
        <v>452</v>
      </c>
      <c r="C3" s="25">
        <v>8.0</v>
      </c>
      <c r="D3" s="25"/>
      <c r="E3" s="24">
        <v>2.0</v>
      </c>
      <c r="F3" s="24">
        <v>4.0</v>
      </c>
      <c r="G3" s="32"/>
      <c r="H3" s="32"/>
      <c r="I3" s="27">
        <f t="shared" si="1"/>
        <v>0</v>
      </c>
      <c r="J3" s="28">
        <f t="shared" si="2"/>
        <v>0</v>
      </c>
      <c r="K3" s="33">
        <v>45715.0</v>
      </c>
      <c r="L3" s="24" t="s">
        <v>202</v>
      </c>
      <c r="M3" s="24" t="s">
        <v>453</v>
      </c>
      <c r="N3" s="24" t="s">
        <v>454</v>
      </c>
      <c r="O3" s="24"/>
      <c r="P3" s="34"/>
      <c r="Q3" s="31"/>
      <c r="R3" s="31" t="s">
        <v>455</v>
      </c>
      <c r="S3" s="9">
        <v>19.0</v>
      </c>
    </row>
    <row r="4" ht="14.25" customHeight="1">
      <c r="A4" s="23">
        <v>3.0</v>
      </c>
      <c r="B4" s="23" t="s">
        <v>452</v>
      </c>
      <c r="C4" s="26"/>
      <c r="D4" s="26">
        <v>2.0</v>
      </c>
      <c r="E4" s="23"/>
      <c r="F4" s="23">
        <v>2.0</v>
      </c>
      <c r="G4" s="27"/>
      <c r="H4" s="27"/>
      <c r="I4" s="27">
        <f t="shared" si="1"/>
        <v>0</v>
      </c>
      <c r="J4" s="28">
        <f t="shared" si="2"/>
        <v>0</v>
      </c>
      <c r="K4" s="35">
        <v>45725.0</v>
      </c>
      <c r="L4" s="23" t="s">
        <v>202</v>
      </c>
      <c r="M4" s="23" t="s">
        <v>453</v>
      </c>
      <c r="N4" s="23" t="s">
        <v>454</v>
      </c>
      <c r="O4" s="23"/>
      <c r="P4" s="36"/>
      <c r="Q4" s="31"/>
      <c r="R4" s="31" t="s">
        <v>456</v>
      </c>
      <c r="S4" s="31">
        <v>18.5</v>
      </c>
    </row>
    <row r="5" ht="14.25" customHeight="1">
      <c r="A5" s="25">
        <v>4.0</v>
      </c>
      <c r="B5" s="24" t="s">
        <v>452</v>
      </c>
      <c r="C5" s="25">
        <v>1.0</v>
      </c>
      <c r="D5" s="25">
        <v>1.0</v>
      </c>
      <c r="E5" s="24">
        <v>2.0</v>
      </c>
      <c r="F5" s="24">
        <v>1.0</v>
      </c>
      <c r="G5" s="32"/>
      <c r="H5" s="32"/>
      <c r="I5" s="27">
        <f t="shared" si="1"/>
        <v>0</v>
      </c>
      <c r="J5" s="28">
        <f t="shared" si="2"/>
        <v>0</v>
      </c>
      <c r="K5" s="33">
        <v>45732.0</v>
      </c>
      <c r="L5" s="24" t="s">
        <v>202</v>
      </c>
      <c r="M5" s="24" t="s">
        <v>453</v>
      </c>
      <c r="N5" s="24" t="s">
        <v>457</v>
      </c>
      <c r="O5" s="24"/>
      <c r="P5" s="34"/>
      <c r="Q5" s="31"/>
      <c r="R5" s="31" t="s">
        <v>458</v>
      </c>
      <c r="S5" s="9">
        <v>27.0</v>
      </c>
    </row>
    <row r="6" ht="14.25" customHeight="1">
      <c r="A6" s="23">
        <v>5.0</v>
      </c>
      <c r="B6" s="23" t="s">
        <v>459</v>
      </c>
      <c r="C6" s="37"/>
      <c r="D6" s="37"/>
      <c r="E6" s="23">
        <v>24.0</v>
      </c>
      <c r="F6" s="27"/>
      <c r="G6" s="27"/>
      <c r="H6" s="27"/>
      <c r="I6" s="27">
        <f t="shared" si="1"/>
        <v>444</v>
      </c>
      <c r="J6" s="28">
        <f t="shared" si="2"/>
        <v>370</v>
      </c>
      <c r="K6" s="35">
        <v>45739.0</v>
      </c>
      <c r="L6" s="23" t="s">
        <v>460</v>
      </c>
      <c r="M6" s="23" t="s">
        <v>453</v>
      </c>
      <c r="N6" s="23" t="s">
        <v>461</v>
      </c>
      <c r="O6" s="27"/>
      <c r="P6" s="23"/>
      <c r="R6" s="9" t="s">
        <v>462</v>
      </c>
      <c r="S6" s="13">
        <v>36.0</v>
      </c>
    </row>
    <row r="7" ht="14.25" customHeight="1">
      <c r="A7" s="25">
        <v>6.0</v>
      </c>
      <c r="B7" s="24" t="s">
        <v>463</v>
      </c>
      <c r="C7" s="25">
        <v>12.0</v>
      </c>
      <c r="D7" s="25"/>
      <c r="E7" s="32"/>
      <c r="F7" s="32"/>
      <c r="G7" s="32"/>
      <c r="H7" s="32"/>
      <c r="I7" s="27">
        <f t="shared" si="1"/>
        <v>204</v>
      </c>
      <c r="J7" s="28">
        <f t="shared" si="2"/>
        <v>170</v>
      </c>
      <c r="K7" s="33">
        <v>45748.0</v>
      </c>
      <c r="L7" s="24" t="s">
        <v>460</v>
      </c>
      <c r="M7" s="24" t="s">
        <v>453</v>
      </c>
      <c r="N7" s="24"/>
      <c r="O7" s="24"/>
      <c r="P7" s="38"/>
      <c r="Q7" s="31"/>
      <c r="R7" s="31" t="s">
        <v>464</v>
      </c>
      <c r="S7" s="9">
        <f>SUM(C2:D1201)</f>
        <v>759</v>
      </c>
    </row>
    <row r="8" ht="14.25" customHeight="1">
      <c r="A8" s="23">
        <v>7.0</v>
      </c>
      <c r="B8" s="23" t="s">
        <v>465</v>
      </c>
      <c r="C8" s="26"/>
      <c r="D8" s="26"/>
      <c r="E8" s="23">
        <v>18.0</v>
      </c>
      <c r="F8" s="23"/>
      <c r="G8" s="27"/>
      <c r="H8" s="27"/>
      <c r="I8" s="27">
        <f t="shared" si="1"/>
        <v>333</v>
      </c>
      <c r="J8" s="28">
        <f t="shared" si="2"/>
        <v>277.5</v>
      </c>
      <c r="K8" s="35">
        <v>45750.0</v>
      </c>
      <c r="L8" s="23" t="s">
        <v>460</v>
      </c>
      <c r="M8" s="23" t="s">
        <v>453</v>
      </c>
      <c r="N8" s="23" t="s">
        <v>466</v>
      </c>
      <c r="O8" s="27"/>
      <c r="P8" s="36"/>
      <c r="Q8" s="31"/>
      <c r="R8" s="31"/>
    </row>
    <row r="9" ht="14.25" customHeight="1">
      <c r="A9" s="25">
        <v>8.0</v>
      </c>
      <c r="B9" s="24" t="s">
        <v>452</v>
      </c>
      <c r="C9" s="25">
        <v>1.0</v>
      </c>
      <c r="D9" s="25">
        <v>1.0</v>
      </c>
      <c r="E9" s="24">
        <v>2.0</v>
      </c>
      <c r="F9" s="24">
        <v>3.0</v>
      </c>
      <c r="G9" s="32"/>
      <c r="H9" s="32"/>
      <c r="I9" s="27">
        <f t="shared" si="1"/>
        <v>0</v>
      </c>
      <c r="J9" s="28">
        <f t="shared" si="2"/>
        <v>0</v>
      </c>
      <c r="K9" s="33">
        <v>45748.0</v>
      </c>
      <c r="L9" s="24" t="s">
        <v>202</v>
      </c>
      <c r="M9" s="24" t="s">
        <v>453</v>
      </c>
      <c r="N9" s="24" t="s">
        <v>467</v>
      </c>
      <c r="O9" s="32"/>
      <c r="P9" s="38"/>
      <c r="Q9" s="31"/>
      <c r="R9" s="31" t="s">
        <v>468</v>
      </c>
      <c r="S9" s="39">
        <f>SUM(I2:I1216)</f>
        <v>20674.5</v>
      </c>
    </row>
    <row r="10" ht="14.25" customHeight="1">
      <c r="A10" s="23">
        <v>9.0</v>
      </c>
      <c r="B10" s="23" t="s">
        <v>469</v>
      </c>
      <c r="C10" s="26">
        <v>36.0</v>
      </c>
      <c r="D10" s="37"/>
      <c r="E10" s="23">
        <v>18.0</v>
      </c>
      <c r="F10" s="27"/>
      <c r="G10" s="27"/>
      <c r="H10" s="27"/>
      <c r="I10" s="27">
        <f t="shared" si="1"/>
        <v>945</v>
      </c>
      <c r="J10" s="28">
        <f t="shared" si="2"/>
        <v>787.5</v>
      </c>
      <c r="K10" s="35">
        <v>45752.0</v>
      </c>
      <c r="L10" s="23" t="s">
        <v>460</v>
      </c>
      <c r="M10" s="23" t="s">
        <v>453</v>
      </c>
      <c r="N10" s="23" t="s">
        <v>470</v>
      </c>
      <c r="O10" s="23"/>
      <c r="P10" s="36"/>
      <c r="Q10" s="31"/>
      <c r="R10" s="31"/>
    </row>
    <row r="11" ht="14.25" customHeight="1">
      <c r="A11" s="25">
        <v>10.0</v>
      </c>
      <c r="B11" s="24" t="s">
        <v>471</v>
      </c>
      <c r="C11" s="25"/>
      <c r="D11" s="40"/>
      <c r="E11" s="24">
        <v>30.0</v>
      </c>
      <c r="F11" s="24"/>
      <c r="G11" s="24"/>
      <c r="H11" s="32"/>
      <c r="I11" s="27">
        <f t="shared" si="1"/>
        <v>555</v>
      </c>
      <c r="J11" s="28">
        <f t="shared" si="2"/>
        <v>462.5</v>
      </c>
      <c r="K11" s="33">
        <v>45788.0</v>
      </c>
      <c r="L11" s="24" t="s">
        <v>460</v>
      </c>
      <c r="M11" s="24" t="s">
        <v>472</v>
      </c>
      <c r="N11" s="24" t="s">
        <v>473</v>
      </c>
      <c r="O11" s="24"/>
      <c r="P11" s="32"/>
    </row>
    <row r="12" ht="14.25" customHeight="1">
      <c r="A12" s="23">
        <v>11.0</v>
      </c>
      <c r="B12" s="23" t="s">
        <v>474</v>
      </c>
      <c r="C12" s="26">
        <v>12.0</v>
      </c>
      <c r="D12" s="26"/>
      <c r="E12" s="23">
        <v>12.0</v>
      </c>
      <c r="F12" s="23"/>
      <c r="G12" s="27"/>
      <c r="H12" s="27"/>
      <c r="I12" s="27">
        <f t="shared" si="1"/>
        <v>426</v>
      </c>
      <c r="J12" s="28">
        <f t="shared" si="2"/>
        <v>355</v>
      </c>
      <c r="K12" s="35">
        <v>45783.0</v>
      </c>
      <c r="L12" s="23" t="s">
        <v>460</v>
      </c>
      <c r="M12" s="23" t="s">
        <v>453</v>
      </c>
      <c r="N12" s="23" t="s">
        <v>475</v>
      </c>
      <c r="O12" s="23"/>
      <c r="P12" s="27"/>
    </row>
    <row r="13" ht="14.25" customHeight="1">
      <c r="A13" s="25">
        <v>12.0</v>
      </c>
      <c r="B13" s="24"/>
      <c r="C13" s="24"/>
      <c r="D13" s="32"/>
      <c r="E13" s="24"/>
      <c r="F13" s="32"/>
      <c r="G13" s="32"/>
      <c r="H13" s="32"/>
      <c r="I13" s="27">
        <f t="shared" si="1"/>
        <v>0</v>
      </c>
      <c r="J13" s="28">
        <f t="shared" si="2"/>
        <v>0</v>
      </c>
      <c r="K13" s="35"/>
      <c r="L13" s="24"/>
      <c r="M13" s="24"/>
      <c r="N13" s="24"/>
      <c r="O13" s="32"/>
      <c r="P13" s="32"/>
    </row>
    <row r="14" ht="14.25" customHeight="1">
      <c r="A14" s="23">
        <v>35.0</v>
      </c>
      <c r="B14" s="41" t="s">
        <v>476</v>
      </c>
      <c r="C14" s="23"/>
      <c r="D14" s="27"/>
      <c r="E14" s="23">
        <v>12.0</v>
      </c>
      <c r="F14" s="23"/>
      <c r="G14" s="27"/>
      <c r="H14" s="27"/>
      <c r="I14" s="27">
        <f t="shared" si="1"/>
        <v>222</v>
      </c>
      <c r="J14" s="28">
        <f t="shared" si="2"/>
        <v>185</v>
      </c>
      <c r="K14" s="42">
        <v>45783.0</v>
      </c>
      <c r="L14" s="23" t="s">
        <v>477</v>
      </c>
      <c r="M14" s="23"/>
      <c r="N14" s="23" t="s">
        <v>478</v>
      </c>
      <c r="O14" s="23"/>
      <c r="P14" s="27"/>
    </row>
    <row r="15" ht="14.25" customHeight="1">
      <c r="A15" s="25">
        <v>14.0</v>
      </c>
      <c r="B15" s="24" t="s">
        <v>479</v>
      </c>
      <c r="C15" s="24"/>
      <c r="D15" s="32"/>
      <c r="E15" s="24">
        <v>6.0</v>
      </c>
      <c r="F15" s="32"/>
      <c r="G15" s="24"/>
      <c r="H15" s="32"/>
      <c r="I15" s="27">
        <f t="shared" si="1"/>
        <v>111</v>
      </c>
      <c r="J15" s="28">
        <f t="shared" si="2"/>
        <v>92.5</v>
      </c>
      <c r="K15" s="33">
        <v>45788.0</v>
      </c>
      <c r="L15" s="24" t="s">
        <v>460</v>
      </c>
      <c r="M15" s="24"/>
      <c r="N15" s="24"/>
      <c r="O15" s="24"/>
      <c r="P15" s="32"/>
    </row>
    <row r="16" ht="14.25" customHeight="1">
      <c r="A16" s="23">
        <v>15.0</v>
      </c>
      <c r="B16" s="43" t="s">
        <v>459</v>
      </c>
      <c r="C16" s="23">
        <v>24.0</v>
      </c>
      <c r="D16" s="23"/>
      <c r="E16" s="23"/>
      <c r="F16" s="23"/>
      <c r="G16" s="27"/>
      <c r="H16" s="27"/>
      <c r="I16" s="27">
        <f t="shared" si="1"/>
        <v>408</v>
      </c>
      <c r="J16" s="28">
        <f t="shared" si="2"/>
        <v>340</v>
      </c>
      <c r="K16" s="35">
        <v>45810.0</v>
      </c>
      <c r="L16" s="23" t="s">
        <v>460</v>
      </c>
      <c r="M16" s="23"/>
      <c r="N16" s="23" t="s">
        <v>480</v>
      </c>
      <c r="O16" s="23"/>
      <c r="P16" s="27"/>
    </row>
    <row r="17" ht="14.25" customHeight="1">
      <c r="A17" s="25">
        <v>16.0</v>
      </c>
      <c r="B17" s="24" t="s">
        <v>481</v>
      </c>
      <c r="C17" s="24">
        <v>132.0</v>
      </c>
      <c r="D17" s="24"/>
      <c r="E17" s="24"/>
      <c r="F17" s="32"/>
      <c r="G17" s="24"/>
      <c r="H17" s="32"/>
      <c r="I17" s="27">
        <f t="shared" si="1"/>
        <v>2244</v>
      </c>
      <c r="J17" s="28">
        <f t="shared" si="2"/>
        <v>1870</v>
      </c>
      <c r="K17" s="33">
        <v>45820.0</v>
      </c>
      <c r="L17" s="24" t="s">
        <v>460</v>
      </c>
      <c r="M17" s="24" t="s">
        <v>482</v>
      </c>
      <c r="N17" s="24" t="s">
        <v>483</v>
      </c>
      <c r="O17" s="24"/>
      <c r="P17" s="32"/>
    </row>
    <row r="18" ht="14.25" customHeight="1">
      <c r="A18" s="23">
        <v>17.0</v>
      </c>
      <c r="B18" s="23" t="s">
        <v>484</v>
      </c>
      <c r="C18" s="23">
        <v>18.0</v>
      </c>
      <c r="D18" s="27"/>
      <c r="E18" s="23"/>
      <c r="F18" s="27"/>
      <c r="G18" s="23">
        <v>3.0</v>
      </c>
      <c r="H18" s="27"/>
      <c r="I18" s="27">
        <f t="shared" si="1"/>
        <v>414</v>
      </c>
      <c r="J18" s="28">
        <f t="shared" si="2"/>
        <v>345</v>
      </c>
      <c r="K18" s="35">
        <v>6696903.0</v>
      </c>
      <c r="L18" s="23" t="s">
        <v>460</v>
      </c>
      <c r="M18" s="23" t="s">
        <v>472</v>
      </c>
      <c r="N18" s="23" t="s">
        <v>485</v>
      </c>
      <c r="O18" s="23"/>
      <c r="P18" s="27"/>
    </row>
    <row r="19" ht="14.25" customHeight="1">
      <c r="A19" s="25">
        <v>18.0</v>
      </c>
      <c r="B19" s="44" t="s">
        <v>450</v>
      </c>
      <c r="C19" s="13"/>
      <c r="D19" s="9"/>
      <c r="E19" s="13">
        <v>6.0</v>
      </c>
      <c r="F19" s="13"/>
      <c r="G19" s="9"/>
      <c r="H19" s="9"/>
      <c r="I19" s="27">
        <f t="shared" si="1"/>
        <v>0</v>
      </c>
      <c r="J19" s="28">
        <f t="shared" si="2"/>
        <v>0</v>
      </c>
      <c r="K19" s="45">
        <v>45819.0</v>
      </c>
      <c r="L19" s="13" t="s">
        <v>202</v>
      </c>
      <c r="M19" s="13"/>
      <c r="N19" s="13" t="s">
        <v>111</v>
      </c>
      <c r="O19" s="13"/>
    </row>
    <row r="20" ht="14.25" customHeight="1">
      <c r="A20" s="23">
        <v>19.0</v>
      </c>
      <c r="B20" s="13" t="s">
        <v>486</v>
      </c>
      <c r="C20" s="13">
        <v>1.0</v>
      </c>
      <c r="D20" s="9"/>
      <c r="E20" s="13"/>
      <c r="F20" s="13">
        <v>1.0</v>
      </c>
      <c r="G20" s="9"/>
      <c r="H20" s="9"/>
      <c r="I20" s="27">
        <f t="shared" si="1"/>
        <v>0</v>
      </c>
      <c r="J20" s="28">
        <f t="shared" si="2"/>
        <v>0</v>
      </c>
      <c r="K20" s="46">
        <v>45819.0</v>
      </c>
      <c r="L20" s="13" t="s">
        <v>202</v>
      </c>
      <c r="M20" s="13"/>
      <c r="N20" s="13"/>
    </row>
    <row r="21" ht="14.25" customHeight="1">
      <c r="A21" s="25">
        <v>20.0</v>
      </c>
      <c r="B21" s="13" t="s">
        <v>452</v>
      </c>
      <c r="C21" s="13"/>
      <c r="D21" s="13">
        <v>1.0</v>
      </c>
      <c r="E21" s="13">
        <v>4.0</v>
      </c>
      <c r="F21" s="13">
        <v>1.0</v>
      </c>
      <c r="G21" s="9"/>
      <c r="H21" s="9"/>
      <c r="I21" s="27">
        <f t="shared" si="1"/>
        <v>0</v>
      </c>
      <c r="J21" s="28">
        <f t="shared" si="2"/>
        <v>0</v>
      </c>
      <c r="K21" s="46">
        <v>45810.0</v>
      </c>
      <c r="L21" s="13" t="s">
        <v>202</v>
      </c>
      <c r="M21" s="13"/>
      <c r="N21" s="13" t="s">
        <v>487</v>
      </c>
      <c r="O21" s="13"/>
      <c r="P21" s="13"/>
    </row>
    <row r="22" ht="14.25" customHeight="1">
      <c r="A22" s="23">
        <v>21.0</v>
      </c>
      <c r="B22" s="13" t="s">
        <v>488</v>
      </c>
      <c r="C22" s="13">
        <v>6.0</v>
      </c>
      <c r="D22" s="13"/>
      <c r="E22" s="13"/>
      <c r="F22" s="9"/>
      <c r="G22" s="9"/>
      <c r="H22" s="9"/>
      <c r="I22" s="27">
        <f t="shared" si="1"/>
        <v>102</v>
      </c>
      <c r="J22" s="28">
        <f t="shared" si="2"/>
        <v>85</v>
      </c>
      <c r="K22" s="46">
        <v>45822.0</v>
      </c>
      <c r="L22" s="13" t="s">
        <v>460</v>
      </c>
      <c r="M22" s="13" t="s">
        <v>453</v>
      </c>
      <c r="N22" s="13" t="s">
        <v>489</v>
      </c>
      <c r="O22" s="13"/>
      <c r="P22" s="9"/>
    </row>
    <row r="23" ht="14.25" customHeight="1">
      <c r="A23" s="25">
        <v>22.0</v>
      </c>
      <c r="B23" s="13" t="s">
        <v>490</v>
      </c>
      <c r="C23" s="13">
        <v>1.0</v>
      </c>
      <c r="E23" s="13"/>
      <c r="F23" s="9"/>
      <c r="G23" s="9"/>
      <c r="H23" s="9"/>
      <c r="I23" s="27">
        <f t="shared" si="1"/>
        <v>0</v>
      </c>
      <c r="J23" s="28">
        <f t="shared" si="2"/>
        <v>0</v>
      </c>
      <c r="K23" s="46">
        <v>45826.0</v>
      </c>
      <c r="L23" s="13" t="s">
        <v>202</v>
      </c>
      <c r="M23" s="13"/>
      <c r="N23" s="13"/>
      <c r="O23" s="13"/>
      <c r="P23" s="9"/>
    </row>
    <row r="24" ht="14.25" customHeight="1">
      <c r="A24" s="25">
        <v>24.0</v>
      </c>
      <c r="B24" s="47" t="s">
        <v>491</v>
      </c>
      <c r="C24" s="13">
        <v>12.0</v>
      </c>
      <c r="D24" s="9"/>
      <c r="E24" s="13"/>
      <c r="F24" s="9"/>
      <c r="G24" s="9"/>
      <c r="H24" s="9"/>
      <c r="I24" s="27">
        <f t="shared" si="1"/>
        <v>204</v>
      </c>
      <c r="J24" s="28">
        <f t="shared" si="2"/>
        <v>170</v>
      </c>
      <c r="K24" s="48">
        <v>45831.0</v>
      </c>
      <c r="L24" s="13" t="s">
        <v>460</v>
      </c>
      <c r="M24" s="13"/>
      <c r="N24" s="13" t="s">
        <v>489</v>
      </c>
      <c r="O24" s="13"/>
      <c r="P24" s="13"/>
    </row>
    <row r="25" ht="14.25" customHeight="1">
      <c r="A25" s="23">
        <v>25.0</v>
      </c>
      <c r="B25" s="47" t="s">
        <v>490</v>
      </c>
      <c r="C25" s="13">
        <v>1.0</v>
      </c>
      <c r="E25" s="13"/>
      <c r="F25" s="9"/>
      <c r="G25" s="9"/>
      <c r="H25" s="9"/>
      <c r="I25" s="27">
        <f t="shared" si="1"/>
        <v>0</v>
      </c>
      <c r="J25" s="28">
        <f t="shared" si="2"/>
        <v>0</v>
      </c>
      <c r="K25" s="45">
        <v>45845.0</v>
      </c>
      <c r="L25" s="13" t="s">
        <v>202</v>
      </c>
      <c r="M25" s="13"/>
      <c r="N25" s="13"/>
      <c r="O25" s="13"/>
      <c r="P25" s="9"/>
    </row>
    <row r="26" ht="14.25" customHeight="1">
      <c r="A26" s="25">
        <v>26.0</v>
      </c>
      <c r="B26" s="13" t="s">
        <v>486</v>
      </c>
      <c r="C26" s="13"/>
      <c r="E26" s="13">
        <v>1.0</v>
      </c>
      <c r="F26" s="9"/>
      <c r="G26" s="9"/>
      <c r="H26" s="9"/>
      <c r="I26" s="27">
        <f t="shared" si="1"/>
        <v>18.5</v>
      </c>
      <c r="J26" s="28">
        <f t="shared" si="2"/>
        <v>15.41666667</v>
      </c>
      <c r="K26" s="49">
        <v>45845.0</v>
      </c>
      <c r="L26" s="13" t="s">
        <v>460</v>
      </c>
      <c r="M26" s="13"/>
      <c r="N26" s="13" t="s">
        <v>489</v>
      </c>
      <c r="O26" s="13" t="s">
        <v>489</v>
      </c>
      <c r="P26" s="9"/>
    </row>
    <row r="27" ht="14.25" customHeight="1">
      <c r="A27" s="23">
        <v>27.0</v>
      </c>
      <c r="B27" s="50" t="s">
        <v>484</v>
      </c>
      <c r="C27" s="11">
        <v>72.0</v>
      </c>
      <c r="D27" s="13"/>
      <c r="E27" s="13"/>
      <c r="F27" s="9"/>
      <c r="G27" s="13">
        <v>15.0</v>
      </c>
      <c r="H27" s="9"/>
      <c r="I27" s="27">
        <f t="shared" si="1"/>
        <v>1764</v>
      </c>
      <c r="J27" s="28">
        <f t="shared" si="2"/>
        <v>1470</v>
      </c>
      <c r="K27" s="42">
        <v>45845.0</v>
      </c>
      <c r="L27" s="13" t="s">
        <v>460</v>
      </c>
      <c r="M27" s="13"/>
      <c r="N27" s="13" t="s">
        <v>492</v>
      </c>
      <c r="P27" s="9"/>
    </row>
    <row r="28" ht="14.25" customHeight="1">
      <c r="A28" s="25">
        <v>28.0</v>
      </c>
      <c r="B28" s="51" t="s">
        <v>459</v>
      </c>
      <c r="C28" s="13">
        <v>12.0</v>
      </c>
      <c r="E28" s="13"/>
      <c r="F28" s="13"/>
      <c r="G28" s="9"/>
      <c r="H28" s="9"/>
      <c r="I28" s="27">
        <f t="shared" si="1"/>
        <v>204</v>
      </c>
      <c r="J28" s="28">
        <f t="shared" si="2"/>
        <v>170</v>
      </c>
      <c r="K28" s="46">
        <v>45874.0</v>
      </c>
      <c r="L28" s="13" t="s">
        <v>460</v>
      </c>
      <c r="M28" s="13"/>
      <c r="N28" s="11" t="s">
        <v>493</v>
      </c>
      <c r="O28" s="52"/>
      <c r="P28" s="9"/>
    </row>
    <row r="29" ht="14.25" customHeight="1">
      <c r="A29" s="23">
        <v>29.0</v>
      </c>
      <c r="B29" s="13"/>
      <c r="C29" s="13"/>
      <c r="E29" s="13"/>
      <c r="F29" s="9"/>
      <c r="G29" s="9"/>
      <c r="H29" s="9"/>
      <c r="I29" s="27"/>
      <c r="J29" s="28"/>
      <c r="K29" s="46"/>
      <c r="L29" s="13"/>
      <c r="M29" s="13"/>
      <c r="N29" s="13"/>
      <c r="O29" s="52"/>
      <c r="P29" s="13"/>
    </row>
    <row r="30" ht="14.25" customHeight="1">
      <c r="A30" s="25">
        <v>30.0</v>
      </c>
      <c r="E30" s="13"/>
      <c r="F30" s="9"/>
      <c r="G30" s="9"/>
      <c r="H30" s="9"/>
      <c r="I30" s="27">
        <f t="shared" ref="I30:I144" si="3">IF(L30="Cadeau",0,C30*$S$2+D30*$S$3+E30*$S$4+F30*$S$5+G30*$S$6)</f>
        <v>0</v>
      </c>
      <c r="J30" s="28">
        <f t="shared" ref="J30:J55" si="4">I30/1.2</f>
        <v>0</v>
      </c>
      <c r="K30" s="46"/>
      <c r="L30" s="13"/>
      <c r="M30" s="9"/>
      <c r="O30" s="52"/>
      <c r="P30" s="13"/>
    </row>
    <row r="31" ht="14.25" customHeight="1">
      <c r="A31" s="23">
        <v>31.0</v>
      </c>
      <c r="B31" s="13" t="s">
        <v>476</v>
      </c>
      <c r="C31" s="13"/>
      <c r="D31" s="13"/>
      <c r="E31" s="13">
        <v>12.0</v>
      </c>
      <c r="F31" s="9"/>
      <c r="G31" s="9"/>
      <c r="H31" s="9"/>
      <c r="I31" s="27">
        <f t="shared" si="3"/>
        <v>222</v>
      </c>
      <c r="J31" s="28">
        <f t="shared" si="4"/>
        <v>185</v>
      </c>
      <c r="K31" s="46">
        <v>45879.0</v>
      </c>
      <c r="L31" s="13" t="s">
        <v>460</v>
      </c>
      <c r="M31" s="13"/>
      <c r="N31" s="13"/>
      <c r="O31" s="13"/>
      <c r="P31" s="13"/>
    </row>
    <row r="32" ht="14.25" customHeight="1">
      <c r="A32" s="25">
        <v>32.0</v>
      </c>
      <c r="B32" s="13" t="s">
        <v>494</v>
      </c>
      <c r="D32" s="11">
        <v>12.0</v>
      </c>
      <c r="E32" s="13"/>
      <c r="F32" s="9"/>
      <c r="G32" s="9"/>
      <c r="H32" s="9"/>
      <c r="I32" s="27">
        <f t="shared" si="3"/>
        <v>228</v>
      </c>
      <c r="J32" s="28">
        <f t="shared" si="4"/>
        <v>190</v>
      </c>
      <c r="K32" s="46">
        <v>45879.0</v>
      </c>
      <c r="L32" s="13" t="s">
        <v>460</v>
      </c>
      <c r="M32" s="13" t="s">
        <v>453</v>
      </c>
      <c r="N32" s="13" t="s">
        <v>493</v>
      </c>
      <c r="P32" s="9"/>
    </row>
    <row r="33" ht="14.25" customHeight="1">
      <c r="A33" s="23">
        <v>33.0</v>
      </c>
      <c r="B33" s="13" t="s">
        <v>452</v>
      </c>
      <c r="C33" s="13">
        <v>18.0</v>
      </c>
      <c r="D33" s="13">
        <v>6.0</v>
      </c>
      <c r="E33" s="13">
        <v>12.0</v>
      </c>
      <c r="F33" s="13">
        <v>6.0</v>
      </c>
      <c r="G33" s="13">
        <v>2.0</v>
      </c>
      <c r="H33" s="9"/>
      <c r="I33" s="27">
        <f t="shared" si="3"/>
        <v>0</v>
      </c>
      <c r="J33" s="28">
        <f t="shared" si="4"/>
        <v>0</v>
      </c>
      <c r="K33" s="46">
        <v>45879.0</v>
      </c>
      <c r="L33" s="13" t="s">
        <v>202</v>
      </c>
      <c r="M33" s="13"/>
      <c r="N33" s="13" t="s">
        <v>495</v>
      </c>
      <c r="O33" s="11" t="s">
        <v>496</v>
      </c>
      <c r="P33" s="9"/>
    </row>
    <row r="34" ht="14.25" customHeight="1">
      <c r="A34" s="25">
        <v>34.0</v>
      </c>
      <c r="B34" s="13" t="s">
        <v>497</v>
      </c>
      <c r="C34" s="13"/>
      <c r="E34" s="13">
        <v>18.0</v>
      </c>
      <c r="F34" s="9"/>
      <c r="G34" s="9"/>
      <c r="H34" s="9"/>
      <c r="I34" s="27">
        <f t="shared" si="3"/>
        <v>333</v>
      </c>
      <c r="J34" s="28">
        <f t="shared" si="4"/>
        <v>277.5</v>
      </c>
      <c r="K34" s="53">
        <v>45901.0</v>
      </c>
      <c r="L34" s="13" t="s">
        <v>460</v>
      </c>
      <c r="M34" s="13" t="s">
        <v>453</v>
      </c>
      <c r="N34" s="13"/>
      <c r="O34" s="13"/>
      <c r="P34" s="9"/>
    </row>
    <row r="35" ht="14.25" customHeight="1">
      <c r="A35" s="23">
        <v>35.0</v>
      </c>
      <c r="B35" s="51" t="s">
        <v>452</v>
      </c>
      <c r="E35" s="13">
        <v>3.0</v>
      </c>
      <c r="F35" s="9"/>
      <c r="G35" s="9"/>
      <c r="H35" s="9"/>
      <c r="I35" s="27">
        <f t="shared" si="3"/>
        <v>0</v>
      </c>
      <c r="J35" s="28">
        <f t="shared" si="4"/>
        <v>0</v>
      </c>
      <c r="K35" s="46">
        <v>45901.0</v>
      </c>
      <c r="L35" s="13" t="s">
        <v>202</v>
      </c>
      <c r="M35" s="13"/>
      <c r="N35" s="13" t="s">
        <v>498</v>
      </c>
      <c r="P35" s="9"/>
    </row>
    <row r="36" ht="14.25" customHeight="1">
      <c r="A36" s="25">
        <v>36.0</v>
      </c>
      <c r="B36" s="13" t="s">
        <v>452</v>
      </c>
      <c r="C36" s="13">
        <v>9.0</v>
      </c>
      <c r="E36" s="13">
        <v>3.0</v>
      </c>
      <c r="F36" s="13">
        <v>2.0</v>
      </c>
      <c r="G36" s="9"/>
      <c r="H36" s="9"/>
      <c r="I36" s="27">
        <f t="shared" si="3"/>
        <v>0</v>
      </c>
      <c r="J36" s="28">
        <f t="shared" si="4"/>
        <v>0</v>
      </c>
      <c r="K36" s="48">
        <v>45901.0</v>
      </c>
      <c r="L36" s="13" t="s">
        <v>202</v>
      </c>
      <c r="M36" s="13"/>
      <c r="N36" s="13" t="s">
        <v>499</v>
      </c>
      <c r="P36" s="9"/>
    </row>
    <row r="37" ht="14.25" customHeight="1">
      <c r="A37" s="23">
        <v>37.0</v>
      </c>
      <c r="B37" s="13" t="s">
        <v>500</v>
      </c>
      <c r="C37" s="13">
        <v>6.0</v>
      </c>
      <c r="D37" s="11">
        <v>6.0</v>
      </c>
      <c r="E37" s="13">
        <v>24.0</v>
      </c>
      <c r="F37" s="9"/>
      <c r="G37" s="9"/>
      <c r="H37" s="9"/>
      <c r="I37" s="27">
        <f t="shared" si="3"/>
        <v>660</v>
      </c>
      <c r="J37" s="28">
        <f t="shared" si="4"/>
        <v>550</v>
      </c>
      <c r="K37" s="46">
        <v>45884.0</v>
      </c>
      <c r="L37" s="13" t="s">
        <v>460</v>
      </c>
      <c r="M37" s="13"/>
      <c r="N37" s="11" t="s">
        <v>501</v>
      </c>
      <c r="O37" s="13"/>
      <c r="P37" s="9"/>
    </row>
    <row r="38" ht="14.25" customHeight="1">
      <c r="A38" s="25">
        <v>38.0</v>
      </c>
      <c r="B38" s="13" t="s">
        <v>502</v>
      </c>
      <c r="C38" s="13">
        <v>6.0</v>
      </c>
      <c r="E38" s="13"/>
      <c r="F38" s="13"/>
      <c r="G38" s="9"/>
      <c r="H38" s="9"/>
      <c r="I38" s="27">
        <f t="shared" si="3"/>
        <v>102</v>
      </c>
      <c r="J38" s="28">
        <f t="shared" si="4"/>
        <v>85</v>
      </c>
      <c r="K38" s="46">
        <v>45894.0</v>
      </c>
      <c r="L38" s="13" t="s">
        <v>460</v>
      </c>
      <c r="M38" s="13"/>
      <c r="N38" s="11" t="s">
        <v>503</v>
      </c>
      <c r="O38" s="9"/>
    </row>
    <row r="39" ht="14.25" customHeight="1">
      <c r="A39" s="23">
        <v>39.0</v>
      </c>
      <c r="B39" s="13" t="s">
        <v>469</v>
      </c>
      <c r="C39" s="11">
        <v>84.0</v>
      </c>
      <c r="D39" s="13"/>
      <c r="E39" s="13"/>
      <c r="F39" s="9"/>
      <c r="G39" s="9"/>
      <c r="H39" s="9"/>
      <c r="I39" s="27">
        <f t="shared" si="3"/>
        <v>1428</v>
      </c>
      <c r="J39" s="28">
        <f t="shared" si="4"/>
        <v>1190</v>
      </c>
      <c r="K39" s="46">
        <v>45905.0</v>
      </c>
      <c r="L39" s="13" t="s">
        <v>460</v>
      </c>
      <c r="M39" s="13"/>
      <c r="N39" s="13" t="s">
        <v>493</v>
      </c>
      <c r="O39" s="9"/>
    </row>
    <row r="40" ht="14.25" customHeight="1">
      <c r="A40" s="25">
        <v>40.0</v>
      </c>
      <c r="B40" s="13" t="s">
        <v>459</v>
      </c>
      <c r="C40" s="13"/>
      <c r="D40" s="13"/>
      <c r="E40" s="13">
        <v>12.0</v>
      </c>
      <c r="F40" s="9"/>
      <c r="G40" s="9"/>
      <c r="H40" s="9"/>
      <c r="I40" s="27">
        <f t="shared" si="3"/>
        <v>222</v>
      </c>
      <c r="J40" s="28">
        <f t="shared" si="4"/>
        <v>185</v>
      </c>
      <c r="K40" s="53">
        <v>45907.0</v>
      </c>
      <c r="L40" s="13" t="s">
        <v>460</v>
      </c>
      <c r="M40" s="13"/>
      <c r="N40" s="13" t="s">
        <v>493</v>
      </c>
      <c r="O40" s="13"/>
      <c r="P40" s="9"/>
    </row>
    <row r="41" ht="14.25" customHeight="1">
      <c r="A41" s="23">
        <v>41.0</v>
      </c>
      <c r="B41" s="13" t="s">
        <v>504</v>
      </c>
      <c r="E41" s="13">
        <v>12.0</v>
      </c>
      <c r="F41" s="9"/>
      <c r="G41" s="13">
        <v>4.0</v>
      </c>
      <c r="H41" s="13"/>
      <c r="I41" s="27">
        <f t="shared" si="3"/>
        <v>366</v>
      </c>
      <c r="J41" s="28">
        <f t="shared" si="4"/>
        <v>305</v>
      </c>
      <c r="K41" s="46">
        <v>45911.0</v>
      </c>
      <c r="L41" s="13" t="s">
        <v>460</v>
      </c>
      <c r="M41" s="13" t="s">
        <v>453</v>
      </c>
      <c r="N41" s="13" t="s">
        <v>505</v>
      </c>
      <c r="O41" s="13"/>
    </row>
    <row r="42" ht="14.25" customHeight="1">
      <c r="A42" s="25">
        <v>42.0</v>
      </c>
      <c r="B42" s="13" t="s">
        <v>450</v>
      </c>
      <c r="C42" s="13">
        <v>6.0</v>
      </c>
      <c r="D42" s="13"/>
      <c r="E42" s="9"/>
      <c r="F42" s="9"/>
      <c r="G42" s="9"/>
      <c r="H42" s="9"/>
      <c r="I42" s="27">
        <f t="shared" si="3"/>
        <v>0</v>
      </c>
      <c r="J42" s="28">
        <f t="shared" si="4"/>
        <v>0</v>
      </c>
      <c r="K42" s="46">
        <v>45917.0</v>
      </c>
      <c r="L42" s="13" t="s">
        <v>202</v>
      </c>
      <c r="M42" s="13"/>
      <c r="O42" s="13"/>
      <c r="P42" s="9"/>
    </row>
    <row r="43" ht="14.25" customHeight="1">
      <c r="A43" s="23">
        <v>43.0</v>
      </c>
      <c r="B43" s="13" t="s">
        <v>491</v>
      </c>
      <c r="C43" s="13">
        <v>24.0</v>
      </c>
      <c r="E43" s="52"/>
      <c r="F43" s="13"/>
      <c r="G43" s="9"/>
      <c r="H43" s="9"/>
      <c r="I43" s="27">
        <f t="shared" si="3"/>
        <v>408</v>
      </c>
      <c r="J43" s="28">
        <f t="shared" si="4"/>
        <v>340</v>
      </c>
      <c r="K43" s="46">
        <v>45923.0</v>
      </c>
      <c r="L43" s="13" t="s">
        <v>460</v>
      </c>
      <c r="M43" s="13" t="s">
        <v>482</v>
      </c>
      <c r="N43" s="13" t="s">
        <v>506</v>
      </c>
      <c r="O43" s="13"/>
    </row>
    <row r="44" ht="14.25" customHeight="1">
      <c r="A44" s="25">
        <v>44.0</v>
      </c>
      <c r="B44" s="13" t="s">
        <v>507</v>
      </c>
      <c r="C44" s="9"/>
      <c r="D44" s="9"/>
      <c r="E44" s="13">
        <v>6.0</v>
      </c>
      <c r="F44" s="13"/>
      <c r="G44" s="9"/>
      <c r="H44" s="9"/>
      <c r="I44" s="27">
        <f t="shared" si="3"/>
        <v>111</v>
      </c>
      <c r="J44" s="28">
        <f t="shared" si="4"/>
        <v>92.5</v>
      </c>
      <c r="K44" s="46">
        <v>45932.0</v>
      </c>
      <c r="L44" s="13" t="s">
        <v>460</v>
      </c>
      <c r="M44" s="13" t="s">
        <v>453</v>
      </c>
      <c r="N44" s="13" t="s">
        <v>493</v>
      </c>
      <c r="O44" s="13"/>
    </row>
    <row r="45" ht="14.25" customHeight="1">
      <c r="A45" s="23">
        <v>45.0</v>
      </c>
      <c r="H45" s="9"/>
      <c r="I45" s="27">
        <f t="shared" si="3"/>
        <v>0</v>
      </c>
      <c r="J45" s="28">
        <f t="shared" si="4"/>
        <v>0</v>
      </c>
      <c r="K45" s="46"/>
      <c r="L45" s="13"/>
      <c r="M45" s="13"/>
    </row>
    <row r="46" ht="14.25" customHeight="1">
      <c r="A46" s="25">
        <v>46.0</v>
      </c>
      <c r="B46" s="13" t="s">
        <v>479</v>
      </c>
      <c r="C46" s="13"/>
      <c r="D46" s="13"/>
      <c r="E46" s="13">
        <v>24.0</v>
      </c>
      <c r="F46" s="13"/>
      <c r="G46" s="9"/>
      <c r="H46" s="9"/>
      <c r="I46" s="27">
        <f t="shared" si="3"/>
        <v>444</v>
      </c>
      <c r="J46" s="28">
        <f t="shared" si="4"/>
        <v>370</v>
      </c>
      <c r="K46" s="46">
        <v>45944.0</v>
      </c>
      <c r="L46" s="13" t="s">
        <v>460</v>
      </c>
      <c r="M46" s="13" t="s">
        <v>453</v>
      </c>
      <c r="N46" s="13" t="s">
        <v>508</v>
      </c>
      <c r="O46" s="13"/>
    </row>
    <row r="47" ht="14.25" customHeight="1">
      <c r="A47" s="23">
        <v>47.0</v>
      </c>
      <c r="B47" s="13" t="s">
        <v>509</v>
      </c>
      <c r="C47" s="13">
        <v>12.0</v>
      </c>
      <c r="D47" s="13"/>
      <c r="E47" s="13">
        <v>42.0</v>
      </c>
      <c r="F47" s="9"/>
      <c r="G47" s="9"/>
      <c r="H47" s="9"/>
      <c r="I47" s="27">
        <f t="shared" si="3"/>
        <v>981</v>
      </c>
      <c r="J47" s="28">
        <f t="shared" si="4"/>
        <v>817.5</v>
      </c>
      <c r="K47" s="46">
        <v>45947.0</v>
      </c>
      <c r="L47" s="13" t="s">
        <v>460</v>
      </c>
      <c r="M47" s="13" t="s">
        <v>453</v>
      </c>
      <c r="N47" s="13" t="s">
        <v>510</v>
      </c>
      <c r="O47" s="13"/>
    </row>
    <row r="48" ht="14.25" customHeight="1">
      <c r="A48" s="25">
        <v>48.0</v>
      </c>
      <c r="B48" s="13" t="s">
        <v>474</v>
      </c>
      <c r="C48" s="13">
        <v>18.0</v>
      </c>
      <c r="D48" s="13">
        <v>12.0</v>
      </c>
      <c r="E48" s="13">
        <v>30.0</v>
      </c>
      <c r="F48" s="9"/>
      <c r="G48" s="13"/>
      <c r="H48" s="9"/>
      <c r="I48" s="27">
        <f t="shared" si="3"/>
        <v>1089</v>
      </c>
      <c r="J48" s="28">
        <f t="shared" si="4"/>
        <v>907.5</v>
      </c>
      <c r="K48" s="46">
        <v>45960.0</v>
      </c>
      <c r="L48" s="13" t="s">
        <v>460</v>
      </c>
      <c r="M48" s="13" t="s">
        <v>482</v>
      </c>
      <c r="N48" s="11" t="s">
        <v>511</v>
      </c>
      <c r="O48" s="13"/>
      <c r="P48" s="13"/>
    </row>
    <row r="49" ht="14.25" customHeight="1">
      <c r="A49" s="23">
        <v>49.0</v>
      </c>
      <c r="B49" s="13" t="s">
        <v>512</v>
      </c>
      <c r="C49" s="11">
        <v>48.0</v>
      </c>
      <c r="E49" s="13">
        <v>18.0</v>
      </c>
      <c r="F49" s="9"/>
      <c r="G49" s="9"/>
      <c r="H49" s="9"/>
      <c r="I49" s="27">
        <f t="shared" si="3"/>
        <v>1149</v>
      </c>
      <c r="J49" s="28">
        <f t="shared" si="4"/>
        <v>957.5</v>
      </c>
      <c r="K49" s="46">
        <v>45954.0</v>
      </c>
      <c r="L49" s="13" t="s">
        <v>477</v>
      </c>
      <c r="M49" s="13" t="s">
        <v>453</v>
      </c>
    </row>
    <row r="50" ht="14.25" customHeight="1">
      <c r="A50" s="25">
        <v>50.0</v>
      </c>
      <c r="B50" s="13" t="s">
        <v>507</v>
      </c>
      <c r="C50" s="13">
        <v>6.0</v>
      </c>
      <c r="D50" s="11">
        <v>6.0</v>
      </c>
      <c r="E50" s="13"/>
      <c r="F50" s="9"/>
      <c r="G50" s="9"/>
      <c r="H50" s="9"/>
      <c r="I50" s="27">
        <f t="shared" si="3"/>
        <v>216</v>
      </c>
      <c r="J50" s="28">
        <f t="shared" si="4"/>
        <v>180</v>
      </c>
      <c r="K50" s="46">
        <v>45963.0</v>
      </c>
      <c r="L50" s="13" t="s">
        <v>460</v>
      </c>
      <c r="M50" s="13" t="s">
        <v>453</v>
      </c>
      <c r="N50" s="13" t="s">
        <v>493</v>
      </c>
      <c r="O50" s="13"/>
    </row>
    <row r="51" ht="14.25" customHeight="1">
      <c r="A51" s="23">
        <v>51.0</v>
      </c>
      <c r="B51" s="13" t="s">
        <v>513</v>
      </c>
      <c r="C51" s="11">
        <v>18.0</v>
      </c>
      <c r="D51" s="11">
        <v>1.0</v>
      </c>
      <c r="E51" s="13"/>
      <c r="F51" s="9"/>
      <c r="G51" s="9"/>
      <c r="H51" s="9"/>
      <c r="I51" s="27">
        <f t="shared" si="3"/>
        <v>325</v>
      </c>
      <c r="J51" s="28">
        <f t="shared" si="4"/>
        <v>270.8333333</v>
      </c>
      <c r="K51" s="46">
        <v>45970.0</v>
      </c>
      <c r="L51" s="13" t="s">
        <v>460</v>
      </c>
      <c r="M51" s="13"/>
      <c r="N51" s="11" t="s">
        <v>514</v>
      </c>
    </row>
    <row r="52" ht="14.25" customHeight="1">
      <c r="A52" s="25">
        <v>52.0</v>
      </c>
      <c r="B52" s="54"/>
      <c r="C52" s="54"/>
      <c r="D52" s="54"/>
      <c r="E52" s="54"/>
      <c r="F52" s="55"/>
      <c r="G52" s="55"/>
      <c r="H52" s="55"/>
      <c r="I52" s="27">
        <f t="shared" si="3"/>
        <v>0</v>
      </c>
      <c r="J52" s="28">
        <f t="shared" si="4"/>
        <v>0</v>
      </c>
      <c r="K52" s="56"/>
      <c r="L52" s="13"/>
      <c r="M52" s="13"/>
      <c r="O52" s="13"/>
      <c r="P52" s="55"/>
    </row>
    <row r="53" ht="14.25" customHeight="1">
      <c r="A53" s="23">
        <v>53.0</v>
      </c>
      <c r="B53" s="13" t="s">
        <v>515</v>
      </c>
      <c r="E53" s="13">
        <v>12.0</v>
      </c>
      <c r="F53" s="13"/>
      <c r="G53" s="9"/>
      <c r="H53" s="9"/>
      <c r="I53" s="27">
        <f t="shared" si="3"/>
        <v>222</v>
      </c>
      <c r="J53" s="28">
        <f t="shared" si="4"/>
        <v>185</v>
      </c>
      <c r="K53" s="46"/>
      <c r="L53" s="13" t="s">
        <v>460</v>
      </c>
      <c r="M53" s="13"/>
      <c r="N53" s="11" t="s">
        <v>516</v>
      </c>
    </row>
    <row r="54" ht="14.25" customHeight="1">
      <c r="A54" s="25">
        <v>54.0</v>
      </c>
      <c r="B54" s="13" t="s">
        <v>517</v>
      </c>
      <c r="C54" s="13">
        <v>12.0</v>
      </c>
      <c r="E54" s="13"/>
      <c r="F54" s="13"/>
      <c r="G54" s="9"/>
      <c r="H54" s="9"/>
      <c r="I54" s="27">
        <f t="shared" si="3"/>
        <v>204</v>
      </c>
      <c r="J54" s="28">
        <f t="shared" si="4"/>
        <v>170</v>
      </c>
      <c r="K54" s="53">
        <v>45970.0</v>
      </c>
      <c r="L54" s="13" t="s">
        <v>460</v>
      </c>
      <c r="M54" s="13"/>
      <c r="N54" s="11" t="s">
        <v>493</v>
      </c>
      <c r="O54" s="13"/>
    </row>
    <row r="55" ht="14.25" customHeight="1">
      <c r="A55" s="23">
        <v>55.0</v>
      </c>
      <c r="B55" s="13" t="s">
        <v>518</v>
      </c>
      <c r="E55" s="52">
        <v>12.0</v>
      </c>
      <c r="F55" s="9"/>
      <c r="G55" s="13"/>
      <c r="I55" s="27">
        <f t="shared" si="3"/>
        <v>222</v>
      </c>
      <c r="J55" s="28">
        <f t="shared" si="4"/>
        <v>185</v>
      </c>
      <c r="K55" s="46">
        <v>45970.0</v>
      </c>
      <c r="L55" s="13" t="s">
        <v>460</v>
      </c>
      <c r="M55" s="13"/>
      <c r="N55" s="11" t="s">
        <v>516</v>
      </c>
    </row>
    <row r="56" ht="14.25" customHeight="1">
      <c r="A56" s="25">
        <v>56.0</v>
      </c>
      <c r="B56" s="13" t="s">
        <v>519</v>
      </c>
      <c r="E56" s="13">
        <v>12.0</v>
      </c>
      <c r="F56" s="13"/>
      <c r="G56" s="9"/>
      <c r="H56" s="13"/>
      <c r="I56" s="27">
        <f t="shared" si="3"/>
        <v>222</v>
      </c>
      <c r="J56" s="27">
        <f t="shared" ref="J56:J61" si="5">IF(M56="Cadeau",0,D56*$S$2+E56*$S$3+F56*$S$4+G56*$S$5)</f>
        <v>228</v>
      </c>
      <c r="K56" s="46">
        <v>45970.0</v>
      </c>
      <c r="L56" s="13" t="s">
        <v>460</v>
      </c>
      <c r="M56" s="13"/>
      <c r="N56" s="11" t="s">
        <v>493</v>
      </c>
    </row>
    <row r="57" ht="14.25" customHeight="1">
      <c r="A57" s="23">
        <v>57.0</v>
      </c>
      <c r="B57" s="13" t="s">
        <v>452</v>
      </c>
      <c r="E57" s="9"/>
      <c r="F57" s="13">
        <v>1.0</v>
      </c>
      <c r="G57" s="9"/>
      <c r="H57" s="13"/>
      <c r="I57" s="27">
        <f t="shared" si="3"/>
        <v>0</v>
      </c>
      <c r="J57" s="27">
        <f t="shared" si="5"/>
        <v>18.5</v>
      </c>
      <c r="K57" s="53">
        <v>45978.0</v>
      </c>
      <c r="L57" s="13" t="s">
        <v>202</v>
      </c>
      <c r="M57" s="13"/>
    </row>
    <row r="58" ht="14.25" customHeight="1">
      <c r="A58" s="25">
        <v>58.0</v>
      </c>
      <c r="B58" s="13" t="s">
        <v>491</v>
      </c>
      <c r="C58" s="11">
        <v>36.0</v>
      </c>
      <c r="E58" s="13"/>
      <c r="F58" s="9"/>
      <c r="G58" s="9"/>
      <c r="H58" s="13"/>
      <c r="I58" s="27">
        <f t="shared" si="3"/>
        <v>612</v>
      </c>
      <c r="J58" s="27">
        <f t="shared" si="5"/>
        <v>0</v>
      </c>
      <c r="K58" s="46">
        <v>45985.0</v>
      </c>
      <c r="L58" s="13" t="s">
        <v>460</v>
      </c>
      <c r="M58" s="13"/>
      <c r="N58" s="11" t="s">
        <v>520</v>
      </c>
    </row>
    <row r="59" ht="14.25" customHeight="1">
      <c r="A59" s="23">
        <v>59.0</v>
      </c>
      <c r="B59" s="13" t="s">
        <v>521</v>
      </c>
      <c r="C59" s="11">
        <v>12.0</v>
      </c>
      <c r="E59" s="13">
        <v>24.0</v>
      </c>
      <c r="F59" s="13">
        <v>6.0</v>
      </c>
      <c r="G59" s="9"/>
      <c r="H59" s="9"/>
      <c r="I59" s="27">
        <f t="shared" si="3"/>
        <v>810</v>
      </c>
      <c r="J59" s="27">
        <f t="shared" si="5"/>
        <v>567</v>
      </c>
      <c r="K59" s="57">
        <v>45994.0</v>
      </c>
      <c r="L59" s="13" t="s">
        <v>460</v>
      </c>
      <c r="M59" s="13"/>
      <c r="N59" s="11" t="s">
        <v>522</v>
      </c>
    </row>
    <row r="60" ht="14.25" customHeight="1">
      <c r="A60" s="25">
        <v>60.0</v>
      </c>
      <c r="B60" s="13" t="s">
        <v>523</v>
      </c>
      <c r="E60" s="13">
        <v>12.0</v>
      </c>
      <c r="F60" s="9"/>
      <c r="G60" s="9"/>
      <c r="H60" s="9"/>
      <c r="I60" s="27">
        <f t="shared" si="3"/>
        <v>222</v>
      </c>
      <c r="J60" s="27">
        <f t="shared" si="5"/>
        <v>228</v>
      </c>
      <c r="K60" s="53">
        <v>46009.0</v>
      </c>
      <c r="L60" s="13" t="s">
        <v>460</v>
      </c>
      <c r="M60" s="9"/>
      <c r="N60" s="11" t="s">
        <v>524</v>
      </c>
    </row>
    <row r="61" ht="14.25" customHeight="1">
      <c r="A61" s="23">
        <v>61.0</v>
      </c>
      <c r="B61" s="13" t="s">
        <v>525</v>
      </c>
      <c r="E61" s="13">
        <v>6.0</v>
      </c>
      <c r="F61" s="13">
        <v>12.0</v>
      </c>
      <c r="G61" s="9"/>
      <c r="H61" s="9"/>
      <c r="I61" s="27">
        <f t="shared" si="3"/>
        <v>435</v>
      </c>
      <c r="J61" s="27">
        <f t="shared" si="5"/>
        <v>336</v>
      </c>
      <c r="K61" s="46">
        <v>46009.0</v>
      </c>
      <c r="L61" s="13" t="s">
        <v>460</v>
      </c>
      <c r="M61" s="9"/>
      <c r="N61" s="11" t="s">
        <v>526</v>
      </c>
    </row>
    <row r="62" ht="14.25" customHeight="1">
      <c r="A62" s="25">
        <v>62.0</v>
      </c>
      <c r="B62" s="13" t="s">
        <v>452</v>
      </c>
      <c r="C62" s="11">
        <v>3.0</v>
      </c>
      <c r="D62" s="11">
        <v>6.0</v>
      </c>
      <c r="E62" s="13">
        <v>19.0</v>
      </c>
      <c r="F62" s="9"/>
      <c r="G62" s="13">
        <v>1.0</v>
      </c>
      <c r="H62" s="9"/>
      <c r="I62" s="27">
        <f t="shared" si="3"/>
        <v>0</v>
      </c>
      <c r="J62" s="27"/>
      <c r="K62" s="46">
        <v>46018.0</v>
      </c>
      <c r="L62" s="13" t="s">
        <v>202</v>
      </c>
      <c r="M62" s="9"/>
      <c r="N62" s="11" t="s">
        <v>527</v>
      </c>
    </row>
    <row r="63" ht="14.25" customHeight="1">
      <c r="A63" s="23">
        <v>63.0</v>
      </c>
      <c r="B63" s="13" t="s">
        <v>450</v>
      </c>
      <c r="C63" s="11">
        <v>6.0</v>
      </c>
      <c r="E63" s="13">
        <v>6.0</v>
      </c>
      <c r="F63" s="9"/>
      <c r="G63" s="9"/>
      <c r="H63" s="9"/>
      <c r="I63" s="27">
        <f t="shared" si="3"/>
        <v>0</v>
      </c>
      <c r="J63" s="27">
        <f t="shared" ref="J63:J64" si="6">IF(M63="Cadeau",0,D63*$S$2+E63*$S$3+F63*$S$4+G63*$S$5)</f>
        <v>114</v>
      </c>
      <c r="K63" s="46">
        <v>46016.0</v>
      </c>
      <c r="L63" s="13" t="s">
        <v>202</v>
      </c>
      <c r="M63" s="9"/>
      <c r="N63" s="11" t="s">
        <v>528</v>
      </c>
    </row>
    <row r="64" ht="14.25" customHeight="1">
      <c r="A64" s="25">
        <v>64.0</v>
      </c>
      <c r="B64" s="13" t="s">
        <v>529</v>
      </c>
      <c r="C64" s="11">
        <v>6.0</v>
      </c>
      <c r="E64" s="9"/>
      <c r="F64" s="9"/>
      <c r="G64" s="9"/>
      <c r="H64" s="9"/>
      <c r="I64" s="27">
        <f t="shared" si="3"/>
        <v>102</v>
      </c>
      <c r="J64" s="27">
        <f t="shared" si="6"/>
        <v>0</v>
      </c>
      <c r="K64" s="48">
        <v>45992.0</v>
      </c>
      <c r="L64" s="13" t="s">
        <v>460</v>
      </c>
      <c r="M64" s="9"/>
      <c r="N64" s="11" t="s">
        <v>493</v>
      </c>
    </row>
    <row r="65" ht="14.25" customHeight="1">
      <c r="A65" s="23">
        <v>65.0</v>
      </c>
      <c r="B65" s="13" t="s">
        <v>490</v>
      </c>
      <c r="C65" s="11">
        <v>2.0</v>
      </c>
      <c r="E65" s="9"/>
      <c r="F65" s="9"/>
      <c r="G65" s="9"/>
      <c r="H65" s="9"/>
      <c r="I65" s="27">
        <f t="shared" si="3"/>
        <v>0</v>
      </c>
      <c r="J65" s="28"/>
      <c r="K65" s="46">
        <v>46022.0</v>
      </c>
      <c r="L65" s="13" t="s">
        <v>202</v>
      </c>
      <c r="M65" s="9"/>
    </row>
    <row r="66" ht="14.25" customHeight="1">
      <c r="A66" s="25">
        <v>66.0</v>
      </c>
      <c r="B66" s="13" t="s">
        <v>530</v>
      </c>
      <c r="C66" s="11">
        <v>24.0</v>
      </c>
      <c r="E66" s="13">
        <v>18.0</v>
      </c>
      <c r="F66" s="9"/>
      <c r="G66" s="9"/>
      <c r="H66" s="9"/>
      <c r="I66" s="27">
        <f t="shared" si="3"/>
        <v>741</v>
      </c>
      <c r="J66" s="28"/>
      <c r="K66" s="46">
        <v>46065.0</v>
      </c>
      <c r="L66" s="9"/>
      <c r="M66" s="9"/>
    </row>
    <row r="67" ht="14.25" customHeight="1">
      <c r="A67" s="23">
        <v>67.0</v>
      </c>
      <c r="B67" s="9"/>
      <c r="E67" s="9"/>
      <c r="F67" s="9"/>
      <c r="G67" s="9"/>
      <c r="H67" s="9"/>
      <c r="I67" s="27">
        <f t="shared" si="3"/>
        <v>0</v>
      </c>
      <c r="J67" s="28"/>
      <c r="K67" s="58"/>
      <c r="L67" s="9"/>
      <c r="M67" s="9"/>
    </row>
    <row r="68" ht="14.25" customHeight="1">
      <c r="A68" s="25">
        <v>68.0</v>
      </c>
      <c r="B68" s="9"/>
      <c r="E68" s="9"/>
      <c r="F68" s="9"/>
      <c r="G68" s="9"/>
      <c r="H68" s="9"/>
      <c r="I68" s="27">
        <f t="shared" si="3"/>
        <v>0</v>
      </c>
      <c r="J68" s="28"/>
      <c r="K68" s="58"/>
      <c r="L68" s="9"/>
      <c r="M68" s="9"/>
    </row>
    <row r="69" ht="14.25" customHeight="1">
      <c r="A69" s="23">
        <v>69.0</v>
      </c>
      <c r="B69" s="9"/>
      <c r="E69" s="9"/>
      <c r="F69" s="9"/>
      <c r="G69" s="9"/>
      <c r="H69" s="9"/>
      <c r="I69" s="27">
        <f t="shared" si="3"/>
        <v>0</v>
      </c>
      <c r="J69" s="28"/>
      <c r="K69" s="58"/>
      <c r="L69" s="9"/>
      <c r="M69" s="9"/>
    </row>
    <row r="70" ht="14.25" customHeight="1">
      <c r="A70" s="25">
        <v>70.0</v>
      </c>
      <c r="B70" s="9"/>
      <c r="E70" s="9"/>
      <c r="F70" s="9"/>
      <c r="G70" s="9"/>
      <c r="H70" s="9"/>
      <c r="I70" s="27">
        <f t="shared" si="3"/>
        <v>0</v>
      </c>
      <c r="J70" s="28"/>
      <c r="K70" s="58"/>
      <c r="L70" s="9"/>
      <c r="M70" s="9"/>
    </row>
    <row r="71" ht="14.25" customHeight="1">
      <c r="A71" s="23">
        <v>71.0</v>
      </c>
      <c r="B71" s="9"/>
      <c r="E71" s="9"/>
      <c r="F71" s="9"/>
      <c r="G71" s="9"/>
      <c r="H71" s="9"/>
      <c r="I71" s="27">
        <f t="shared" si="3"/>
        <v>0</v>
      </c>
      <c r="J71" s="28"/>
      <c r="K71" s="58"/>
      <c r="L71" s="9"/>
      <c r="M71" s="9"/>
    </row>
    <row r="72" ht="14.25" customHeight="1">
      <c r="A72" s="25">
        <v>72.0</v>
      </c>
      <c r="B72" s="9"/>
      <c r="E72" s="9"/>
      <c r="F72" s="9"/>
      <c r="G72" s="9"/>
      <c r="H72" s="9"/>
      <c r="I72" s="27">
        <f t="shared" si="3"/>
        <v>0</v>
      </c>
      <c r="J72" s="28"/>
      <c r="K72" s="58"/>
      <c r="L72" s="9"/>
      <c r="M72" s="9"/>
    </row>
    <row r="73" ht="14.25" customHeight="1">
      <c r="A73" s="23">
        <v>73.0</v>
      </c>
      <c r="B73" s="9"/>
      <c r="E73" s="9"/>
      <c r="F73" s="9"/>
      <c r="G73" s="9"/>
      <c r="H73" s="9"/>
      <c r="I73" s="27">
        <f t="shared" si="3"/>
        <v>0</v>
      </c>
      <c r="J73" s="28"/>
      <c r="K73" s="58"/>
      <c r="L73" s="9"/>
      <c r="M73" s="9"/>
    </row>
    <row r="74" ht="14.25" customHeight="1">
      <c r="A74" s="25">
        <v>74.0</v>
      </c>
      <c r="B74" s="9"/>
      <c r="E74" s="9"/>
      <c r="F74" s="9"/>
      <c r="G74" s="9"/>
      <c r="H74" s="9"/>
      <c r="I74" s="27">
        <f t="shared" si="3"/>
        <v>0</v>
      </c>
      <c r="J74" s="28"/>
      <c r="K74" s="58"/>
      <c r="L74" s="9"/>
      <c r="M74" s="9"/>
    </row>
    <row r="75" ht="14.25" customHeight="1">
      <c r="A75" s="23">
        <v>75.0</v>
      </c>
      <c r="B75" s="9"/>
      <c r="E75" s="9"/>
      <c r="F75" s="9"/>
      <c r="G75" s="9"/>
      <c r="H75" s="9"/>
      <c r="I75" s="27">
        <f t="shared" si="3"/>
        <v>0</v>
      </c>
      <c r="J75" s="28"/>
      <c r="K75" s="58"/>
      <c r="L75" s="9"/>
      <c r="M75" s="9"/>
    </row>
    <row r="76" ht="14.25" customHeight="1">
      <c r="A76" s="25">
        <v>76.0</v>
      </c>
      <c r="B76" s="9"/>
      <c r="E76" s="9"/>
      <c r="F76" s="9"/>
      <c r="G76" s="9"/>
      <c r="H76" s="9"/>
      <c r="I76" s="27">
        <f t="shared" si="3"/>
        <v>0</v>
      </c>
      <c r="J76" s="28"/>
      <c r="L76" s="9"/>
      <c r="M76" s="9"/>
    </row>
    <row r="77" ht="14.25" customHeight="1">
      <c r="A77" s="23">
        <v>77.0</v>
      </c>
      <c r="B77" s="9"/>
      <c r="E77" s="9"/>
      <c r="F77" s="9"/>
      <c r="G77" s="9"/>
      <c r="H77" s="9"/>
      <c r="I77" s="27">
        <f t="shared" si="3"/>
        <v>0</v>
      </c>
      <c r="J77" s="28"/>
      <c r="L77" s="9"/>
      <c r="M77" s="9"/>
    </row>
    <row r="78" ht="14.25" customHeight="1">
      <c r="A78" s="25">
        <v>78.0</v>
      </c>
      <c r="B78" s="9"/>
      <c r="E78" s="9"/>
      <c r="F78" s="9"/>
      <c r="G78" s="9"/>
      <c r="H78" s="9"/>
      <c r="I78" s="27">
        <f t="shared" si="3"/>
        <v>0</v>
      </c>
      <c r="J78" s="28"/>
      <c r="K78" s="58"/>
      <c r="L78" s="9"/>
      <c r="M78" s="9"/>
    </row>
    <row r="79" ht="14.25" customHeight="1">
      <c r="A79" s="23">
        <v>79.0</v>
      </c>
      <c r="B79" s="9"/>
      <c r="E79" s="9"/>
      <c r="F79" s="9"/>
      <c r="G79" s="9"/>
      <c r="H79" s="9"/>
      <c r="I79" s="27">
        <f t="shared" si="3"/>
        <v>0</v>
      </c>
      <c r="J79" s="28"/>
      <c r="K79" s="58"/>
      <c r="L79" s="9"/>
      <c r="M79" s="9"/>
    </row>
    <row r="80" ht="14.25" customHeight="1">
      <c r="A80" s="25">
        <v>80.0</v>
      </c>
      <c r="B80" s="9"/>
      <c r="E80" s="9"/>
      <c r="F80" s="9"/>
      <c r="G80" s="9"/>
      <c r="H80" s="9"/>
      <c r="I80" s="27">
        <f t="shared" si="3"/>
        <v>0</v>
      </c>
      <c r="J80" s="28"/>
      <c r="K80" s="58"/>
      <c r="L80" s="9"/>
      <c r="M80" s="9"/>
    </row>
    <row r="81" ht="14.25" customHeight="1">
      <c r="A81" s="23">
        <v>81.0</v>
      </c>
      <c r="B81" s="9"/>
      <c r="E81" s="9"/>
      <c r="F81" s="9"/>
      <c r="G81" s="9"/>
      <c r="H81" s="9"/>
      <c r="I81" s="27">
        <f t="shared" si="3"/>
        <v>0</v>
      </c>
      <c r="J81" s="28"/>
      <c r="K81" s="58"/>
      <c r="L81" s="9"/>
      <c r="M81" s="9"/>
    </row>
    <row r="82" ht="14.25" customHeight="1">
      <c r="A82" s="25">
        <v>82.0</v>
      </c>
      <c r="B82" s="9"/>
      <c r="E82" s="9"/>
      <c r="F82" s="9"/>
      <c r="G82" s="9"/>
      <c r="H82" s="9"/>
      <c r="I82" s="27">
        <f t="shared" si="3"/>
        <v>0</v>
      </c>
      <c r="J82" s="28"/>
      <c r="K82" s="58"/>
      <c r="L82" s="9"/>
      <c r="M82" s="9"/>
    </row>
    <row r="83" ht="14.25" customHeight="1">
      <c r="A83" s="23">
        <v>83.0</v>
      </c>
      <c r="B83" s="9"/>
      <c r="E83" s="9"/>
      <c r="F83" s="9"/>
      <c r="G83" s="9"/>
      <c r="H83" s="9"/>
      <c r="I83" s="27">
        <f t="shared" si="3"/>
        <v>0</v>
      </c>
      <c r="J83" s="28"/>
      <c r="K83" s="58"/>
      <c r="L83" s="9"/>
      <c r="M83" s="9"/>
    </row>
    <row r="84" ht="14.25" customHeight="1">
      <c r="A84" s="25">
        <v>84.0</v>
      </c>
      <c r="B84" s="9"/>
      <c r="E84" s="9"/>
      <c r="F84" s="9"/>
      <c r="G84" s="9"/>
      <c r="H84" s="9"/>
      <c r="I84" s="27">
        <f t="shared" si="3"/>
        <v>0</v>
      </c>
      <c r="J84" s="28"/>
      <c r="K84" s="58"/>
      <c r="L84" s="9"/>
      <c r="M84" s="9"/>
    </row>
    <row r="85" ht="14.25" customHeight="1">
      <c r="A85" s="23">
        <v>85.0</v>
      </c>
      <c r="B85" s="9"/>
      <c r="E85" s="9"/>
      <c r="F85" s="9"/>
      <c r="G85" s="9"/>
      <c r="H85" s="9"/>
      <c r="I85" s="27">
        <f t="shared" si="3"/>
        <v>0</v>
      </c>
      <c r="J85" s="28"/>
      <c r="K85" s="58"/>
      <c r="L85" s="9"/>
      <c r="M85" s="9"/>
    </row>
    <row r="86" ht="14.25" customHeight="1">
      <c r="A86" s="25">
        <v>86.0</v>
      </c>
      <c r="B86" s="9"/>
      <c r="E86" s="9"/>
      <c r="F86" s="9"/>
      <c r="G86" s="9"/>
      <c r="H86" s="9"/>
      <c r="I86" s="27">
        <f t="shared" si="3"/>
        <v>0</v>
      </c>
      <c r="J86" s="28"/>
      <c r="L86" s="9"/>
      <c r="M86" s="9"/>
    </row>
    <row r="87" ht="14.25" customHeight="1">
      <c r="A87" s="23">
        <v>87.0</v>
      </c>
      <c r="B87" s="9"/>
      <c r="E87" s="9"/>
      <c r="F87" s="9"/>
      <c r="G87" s="9"/>
      <c r="H87" s="9"/>
      <c r="I87" s="27">
        <f t="shared" si="3"/>
        <v>0</v>
      </c>
      <c r="J87" s="28"/>
      <c r="K87" s="58"/>
      <c r="L87" s="9"/>
      <c r="M87" s="9"/>
    </row>
    <row r="88" ht="14.25" customHeight="1">
      <c r="A88" s="25">
        <v>88.0</v>
      </c>
      <c r="B88" s="9"/>
      <c r="E88" s="9"/>
      <c r="F88" s="9"/>
      <c r="G88" s="9"/>
      <c r="H88" s="9"/>
      <c r="I88" s="27">
        <f t="shared" si="3"/>
        <v>0</v>
      </c>
      <c r="J88" s="28"/>
      <c r="K88" s="58"/>
      <c r="L88" s="9"/>
      <c r="M88" s="9"/>
    </row>
    <row r="89" ht="14.25" customHeight="1">
      <c r="A89" s="23">
        <v>89.0</v>
      </c>
      <c r="B89" s="9"/>
      <c r="E89" s="9"/>
      <c r="F89" s="9"/>
      <c r="G89" s="9"/>
      <c r="H89" s="9"/>
      <c r="I89" s="27">
        <f t="shared" si="3"/>
        <v>0</v>
      </c>
      <c r="J89" s="28"/>
      <c r="K89" s="58"/>
      <c r="L89" s="9"/>
      <c r="M89" s="9"/>
    </row>
    <row r="90" ht="14.25" customHeight="1">
      <c r="A90" s="25">
        <v>90.0</v>
      </c>
      <c r="B90" s="9"/>
      <c r="E90" s="9"/>
      <c r="F90" s="9"/>
      <c r="G90" s="9"/>
      <c r="H90" s="9"/>
      <c r="I90" s="27">
        <f t="shared" si="3"/>
        <v>0</v>
      </c>
      <c r="J90" s="28"/>
      <c r="K90" s="58"/>
      <c r="L90" s="9"/>
      <c r="M90" s="9"/>
    </row>
    <row r="91" ht="14.25" customHeight="1">
      <c r="A91" s="23">
        <v>91.0</v>
      </c>
      <c r="B91" s="9"/>
      <c r="E91" s="9"/>
      <c r="F91" s="9"/>
      <c r="G91" s="9"/>
      <c r="H91" s="9"/>
      <c r="I91" s="27">
        <f t="shared" si="3"/>
        <v>0</v>
      </c>
      <c r="J91" s="28"/>
      <c r="K91" s="59"/>
      <c r="L91" s="9"/>
      <c r="M91" s="9"/>
    </row>
    <row r="92" ht="14.25" customHeight="1">
      <c r="A92" s="25">
        <v>92.0</v>
      </c>
      <c r="B92" s="9"/>
      <c r="E92" s="9"/>
      <c r="F92" s="9"/>
      <c r="G92" s="9"/>
      <c r="H92" s="9"/>
      <c r="I92" s="27">
        <f t="shared" si="3"/>
        <v>0</v>
      </c>
      <c r="J92" s="28"/>
      <c r="K92" s="59"/>
      <c r="L92" s="9"/>
      <c r="M92" s="9"/>
    </row>
    <row r="93" ht="14.25" customHeight="1">
      <c r="A93" s="23">
        <v>93.0</v>
      </c>
      <c r="B93" s="9"/>
      <c r="E93" s="9"/>
      <c r="F93" s="9"/>
      <c r="G93" s="9"/>
      <c r="H93" s="9"/>
      <c r="I93" s="27">
        <f t="shared" si="3"/>
        <v>0</v>
      </c>
      <c r="J93" s="28"/>
      <c r="K93" s="59"/>
      <c r="L93" s="9"/>
      <c r="M93" s="9"/>
    </row>
    <row r="94" ht="14.25" customHeight="1">
      <c r="A94" s="25">
        <v>94.0</v>
      </c>
      <c r="B94" s="9"/>
      <c r="E94" s="9"/>
      <c r="F94" s="9"/>
      <c r="G94" s="9"/>
      <c r="H94" s="9"/>
      <c r="I94" s="27">
        <f t="shared" si="3"/>
        <v>0</v>
      </c>
      <c r="J94" s="9"/>
      <c r="K94" s="59"/>
      <c r="L94" s="9"/>
      <c r="M94" s="9"/>
    </row>
    <row r="95" ht="14.25" customHeight="1">
      <c r="A95" s="23">
        <v>95.0</v>
      </c>
      <c r="B95" s="9"/>
      <c r="E95" s="9"/>
      <c r="F95" s="9"/>
      <c r="G95" s="9"/>
      <c r="H95" s="9"/>
      <c r="I95" s="27">
        <f t="shared" si="3"/>
        <v>0</v>
      </c>
      <c r="J95" s="9"/>
      <c r="K95" s="58"/>
      <c r="L95" s="9"/>
      <c r="M95" s="9"/>
    </row>
    <row r="96" ht="14.25" customHeight="1">
      <c r="A96" s="25">
        <v>96.0</v>
      </c>
      <c r="B96" s="9"/>
      <c r="E96" s="9"/>
      <c r="F96" s="9"/>
      <c r="G96" s="9"/>
      <c r="H96" s="9"/>
      <c r="I96" s="27">
        <f t="shared" si="3"/>
        <v>0</v>
      </c>
      <c r="J96" s="9"/>
      <c r="K96" s="58"/>
      <c r="L96" s="9"/>
      <c r="M96" s="9"/>
    </row>
    <row r="97" ht="14.25" customHeight="1">
      <c r="A97" s="23">
        <v>97.0</v>
      </c>
      <c r="B97" s="9"/>
      <c r="E97" s="9"/>
      <c r="F97" s="9"/>
      <c r="G97" s="9"/>
      <c r="H97" s="9"/>
      <c r="I97" s="27">
        <f t="shared" si="3"/>
        <v>0</v>
      </c>
      <c r="J97" s="9"/>
      <c r="K97" s="59"/>
      <c r="L97" s="9"/>
      <c r="M97" s="9"/>
    </row>
    <row r="98" ht="14.25" customHeight="1">
      <c r="A98" s="25">
        <v>98.0</v>
      </c>
      <c r="B98" s="9"/>
      <c r="E98" s="9"/>
      <c r="F98" s="9"/>
      <c r="G98" s="9"/>
      <c r="H98" s="9"/>
      <c r="I98" s="27">
        <f t="shared" si="3"/>
        <v>0</v>
      </c>
      <c r="J98" s="9"/>
      <c r="K98" s="59"/>
      <c r="L98" s="9"/>
      <c r="M98" s="9"/>
    </row>
    <row r="99" ht="14.25" customHeight="1">
      <c r="A99" s="23">
        <v>99.0</v>
      </c>
      <c r="B99" s="9"/>
      <c r="E99" s="9"/>
      <c r="F99" s="9"/>
      <c r="G99" s="9"/>
      <c r="H99" s="9"/>
      <c r="I99" s="27">
        <f t="shared" si="3"/>
        <v>0</v>
      </c>
      <c r="J99" s="9"/>
      <c r="K99" s="58"/>
      <c r="L99" s="9"/>
      <c r="M99" s="9"/>
    </row>
    <row r="100" ht="14.25" customHeight="1">
      <c r="A100" s="25">
        <v>100.0</v>
      </c>
      <c r="B100" s="9"/>
      <c r="E100" s="9"/>
      <c r="F100" s="9"/>
      <c r="G100" s="9"/>
      <c r="H100" s="9"/>
      <c r="I100" s="27">
        <f t="shared" si="3"/>
        <v>0</v>
      </c>
      <c r="J100" s="9"/>
      <c r="K100" s="58"/>
      <c r="L100" s="9"/>
      <c r="M100" s="9"/>
    </row>
    <row r="101" ht="14.25" customHeight="1">
      <c r="A101" s="23">
        <v>101.0</v>
      </c>
      <c r="B101" s="9"/>
      <c r="E101" s="9"/>
      <c r="F101" s="9"/>
      <c r="G101" s="9"/>
      <c r="H101" s="9"/>
      <c r="I101" s="27">
        <f t="shared" si="3"/>
        <v>0</v>
      </c>
      <c r="J101" s="9"/>
      <c r="K101" s="58"/>
      <c r="L101" s="9"/>
      <c r="M101" s="9"/>
    </row>
    <row r="102" ht="14.25" customHeight="1">
      <c r="A102" s="25">
        <v>102.0</v>
      </c>
      <c r="B102" s="9"/>
      <c r="E102" s="9"/>
      <c r="F102" s="9"/>
      <c r="G102" s="9"/>
      <c r="H102" s="9"/>
      <c r="I102" s="27">
        <f t="shared" si="3"/>
        <v>0</v>
      </c>
      <c r="J102" s="9"/>
      <c r="K102" s="58"/>
      <c r="L102" s="9"/>
      <c r="M102" s="9"/>
    </row>
    <row r="103" ht="14.25" customHeight="1">
      <c r="A103" s="23">
        <v>103.0</v>
      </c>
      <c r="B103" s="9"/>
      <c r="E103" s="9"/>
      <c r="F103" s="9"/>
      <c r="G103" s="9"/>
      <c r="H103" s="9"/>
      <c r="I103" s="27">
        <f t="shared" si="3"/>
        <v>0</v>
      </c>
      <c r="J103" s="9"/>
      <c r="K103" s="59"/>
      <c r="L103" s="9"/>
      <c r="M103" s="9"/>
    </row>
    <row r="104" ht="14.25" customHeight="1">
      <c r="A104" s="25">
        <v>104.0</v>
      </c>
      <c r="B104" s="9"/>
      <c r="E104" s="9"/>
      <c r="F104" s="9"/>
      <c r="G104" s="9"/>
      <c r="H104" s="9"/>
      <c r="I104" s="27">
        <f t="shared" si="3"/>
        <v>0</v>
      </c>
      <c r="J104" s="9"/>
      <c r="K104" s="59"/>
      <c r="L104" s="9"/>
      <c r="M104" s="9"/>
    </row>
    <row r="105" ht="14.25" customHeight="1">
      <c r="A105" s="23">
        <v>105.0</v>
      </c>
      <c r="B105" s="9"/>
      <c r="E105" s="9"/>
      <c r="F105" s="9"/>
      <c r="G105" s="9"/>
      <c r="H105" s="9"/>
      <c r="I105" s="27">
        <f t="shared" si="3"/>
        <v>0</v>
      </c>
      <c r="J105" s="9"/>
      <c r="K105" s="59"/>
      <c r="L105" s="9"/>
      <c r="M105" s="9"/>
    </row>
    <row r="106" ht="14.25" customHeight="1">
      <c r="A106" s="25">
        <v>106.0</v>
      </c>
      <c r="B106" s="9"/>
      <c r="E106" s="9"/>
      <c r="F106" s="9"/>
      <c r="G106" s="9"/>
      <c r="H106" s="9"/>
      <c r="I106" s="27">
        <f t="shared" si="3"/>
        <v>0</v>
      </c>
      <c r="J106" s="9"/>
      <c r="K106" s="59"/>
      <c r="L106" s="9"/>
      <c r="M106" s="9"/>
    </row>
    <row r="107" ht="14.25" customHeight="1">
      <c r="A107" s="9"/>
      <c r="B107" s="9"/>
      <c r="E107" s="9"/>
      <c r="F107" s="9"/>
      <c r="G107" s="9"/>
      <c r="H107" s="9"/>
      <c r="I107" s="27">
        <f t="shared" si="3"/>
        <v>0</v>
      </c>
      <c r="J107" s="9"/>
      <c r="K107" s="59"/>
      <c r="L107" s="9"/>
      <c r="M107" s="9"/>
    </row>
    <row r="108" ht="14.25" customHeight="1">
      <c r="A108" s="9"/>
      <c r="B108" s="9"/>
      <c r="E108" s="9"/>
      <c r="F108" s="9"/>
      <c r="G108" s="9"/>
      <c r="H108" s="9"/>
      <c r="I108" s="27">
        <f t="shared" si="3"/>
        <v>0</v>
      </c>
      <c r="J108" s="9"/>
      <c r="K108" s="59"/>
      <c r="L108" s="9"/>
      <c r="M108" s="9"/>
    </row>
    <row r="109" ht="14.25" customHeight="1">
      <c r="A109" s="9"/>
      <c r="B109" s="9"/>
      <c r="E109" s="9"/>
      <c r="F109" s="9"/>
      <c r="G109" s="9"/>
      <c r="H109" s="9"/>
      <c r="I109" s="27">
        <f t="shared" si="3"/>
        <v>0</v>
      </c>
      <c r="J109" s="9"/>
      <c r="K109" s="59"/>
      <c r="L109" s="9"/>
      <c r="M109" s="9"/>
    </row>
    <row r="110" ht="14.25" customHeight="1">
      <c r="A110" s="9"/>
      <c r="B110" s="9"/>
      <c r="E110" s="9"/>
      <c r="F110" s="9"/>
      <c r="G110" s="9"/>
      <c r="H110" s="9"/>
      <c r="I110" s="27">
        <f t="shared" si="3"/>
        <v>0</v>
      </c>
      <c r="J110" s="9"/>
      <c r="K110" s="59"/>
      <c r="L110" s="9"/>
      <c r="M110" s="9"/>
    </row>
    <row r="111" ht="14.25" customHeight="1">
      <c r="A111" s="9"/>
      <c r="B111" s="9"/>
      <c r="E111" s="9"/>
      <c r="F111" s="9"/>
      <c r="G111" s="9"/>
      <c r="H111" s="9"/>
      <c r="I111" s="27">
        <f t="shared" si="3"/>
        <v>0</v>
      </c>
      <c r="J111" s="9"/>
      <c r="K111" s="59"/>
      <c r="L111" s="9"/>
      <c r="M111" s="9"/>
    </row>
    <row r="112" ht="14.25" customHeight="1">
      <c r="A112" s="9"/>
      <c r="B112" s="9"/>
      <c r="E112" s="9"/>
      <c r="F112" s="9"/>
      <c r="G112" s="9"/>
      <c r="H112" s="9"/>
      <c r="I112" s="27">
        <f t="shared" si="3"/>
        <v>0</v>
      </c>
      <c r="J112" s="9"/>
      <c r="K112" s="59"/>
      <c r="L112" s="9"/>
      <c r="M112" s="9"/>
    </row>
    <row r="113" ht="14.25" customHeight="1">
      <c r="A113" s="9"/>
      <c r="B113" s="9"/>
      <c r="E113" s="9"/>
      <c r="F113" s="9"/>
      <c r="G113" s="9"/>
      <c r="H113" s="9"/>
      <c r="I113" s="27">
        <f t="shared" si="3"/>
        <v>0</v>
      </c>
      <c r="J113" s="9"/>
      <c r="K113" s="59"/>
      <c r="L113" s="9"/>
      <c r="M113" s="9"/>
    </row>
    <row r="114" ht="14.25" customHeight="1">
      <c r="A114" s="9"/>
      <c r="B114" s="9"/>
      <c r="E114" s="9"/>
      <c r="F114" s="9"/>
      <c r="G114" s="9"/>
      <c r="H114" s="9"/>
      <c r="I114" s="27">
        <f t="shared" si="3"/>
        <v>0</v>
      </c>
      <c r="J114" s="9"/>
      <c r="K114" s="59"/>
      <c r="L114" s="9"/>
      <c r="M114" s="9"/>
    </row>
    <row r="115" ht="14.25" customHeight="1">
      <c r="A115" s="9"/>
      <c r="B115" s="9"/>
      <c r="E115" s="9"/>
      <c r="F115" s="9"/>
      <c r="G115" s="9"/>
      <c r="H115" s="9"/>
      <c r="I115" s="27">
        <f t="shared" si="3"/>
        <v>0</v>
      </c>
      <c r="J115" s="9"/>
      <c r="K115" s="59"/>
      <c r="L115" s="9"/>
      <c r="M115" s="9"/>
    </row>
    <row r="116" ht="14.25" customHeight="1">
      <c r="A116" s="9"/>
      <c r="B116" s="9"/>
      <c r="E116" s="9"/>
      <c r="F116" s="9"/>
      <c r="G116" s="9"/>
      <c r="H116" s="9"/>
      <c r="I116" s="27">
        <f t="shared" si="3"/>
        <v>0</v>
      </c>
      <c r="J116" s="9"/>
      <c r="K116" s="59"/>
      <c r="L116" s="9"/>
      <c r="M116" s="9"/>
    </row>
    <row r="117" ht="14.25" customHeight="1">
      <c r="A117" s="9"/>
      <c r="B117" s="9"/>
      <c r="E117" s="9"/>
      <c r="F117" s="9"/>
      <c r="G117" s="9"/>
      <c r="H117" s="9"/>
      <c r="I117" s="27">
        <f t="shared" si="3"/>
        <v>0</v>
      </c>
      <c r="J117" s="9"/>
      <c r="K117" s="59"/>
      <c r="L117" s="9"/>
      <c r="M117" s="9"/>
    </row>
    <row r="118" ht="14.25" customHeight="1">
      <c r="A118" s="9"/>
      <c r="B118" s="9"/>
      <c r="H118" s="9"/>
      <c r="I118" s="27">
        <f t="shared" si="3"/>
        <v>0</v>
      </c>
      <c r="K118" s="59"/>
      <c r="L118" s="9"/>
      <c r="M118" s="9"/>
    </row>
    <row r="119" ht="14.25" customHeight="1">
      <c r="A119" s="9"/>
      <c r="B119" s="9"/>
      <c r="H119" s="9"/>
      <c r="I119" s="27">
        <f t="shared" si="3"/>
        <v>0</v>
      </c>
      <c r="K119" s="59"/>
      <c r="L119" s="9"/>
      <c r="M119" s="9"/>
    </row>
    <row r="120" ht="14.25" customHeight="1">
      <c r="A120" s="9"/>
      <c r="B120" s="9"/>
      <c r="H120" s="9"/>
      <c r="I120" s="27">
        <f t="shared" si="3"/>
        <v>0</v>
      </c>
      <c r="K120" s="59"/>
      <c r="L120" s="9"/>
      <c r="M120" s="9"/>
    </row>
    <row r="121" ht="14.25" customHeight="1">
      <c r="A121" s="9"/>
      <c r="B121" s="9"/>
      <c r="H121" s="9"/>
      <c r="I121" s="27">
        <f t="shared" si="3"/>
        <v>0</v>
      </c>
      <c r="K121" s="59"/>
      <c r="M121" s="9"/>
    </row>
    <row r="122" ht="14.25" customHeight="1">
      <c r="A122" s="9"/>
      <c r="B122" s="9"/>
      <c r="H122" s="9"/>
      <c r="I122" s="27">
        <f t="shared" si="3"/>
        <v>0</v>
      </c>
      <c r="K122" s="59"/>
    </row>
    <row r="123" ht="14.25" customHeight="1">
      <c r="A123" s="9"/>
      <c r="B123" s="9"/>
      <c r="H123" s="9"/>
      <c r="I123" s="27">
        <f t="shared" si="3"/>
        <v>0</v>
      </c>
    </row>
    <row r="124" ht="14.25" customHeight="1">
      <c r="A124" s="9"/>
      <c r="B124" s="9"/>
      <c r="H124" s="9"/>
      <c r="I124" s="27">
        <f t="shared" si="3"/>
        <v>0</v>
      </c>
    </row>
    <row r="125" ht="14.25" customHeight="1">
      <c r="A125" s="9"/>
      <c r="B125" s="9"/>
      <c r="H125" s="9"/>
      <c r="I125" s="27">
        <f t="shared" si="3"/>
        <v>0</v>
      </c>
    </row>
    <row r="126" ht="14.25" customHeight="1">
      <c r="A126" s="9"/>
      <c r="B126" s="9"/>
      <c r="H126" s="9"/>
      <c r="I126" s="27">
        <f t="shared" si="3"/>
        <v>0</v>
      </c>
    </row>
    <row r="127" ht="14.25" customHeight="1">
      <c r="A127" s="9"/>
      <c r="B127" s="9"/>
      <c r="H127" s="9"/>
      <c r="I127" s="27">
        <f t="shared" si="3"/>
        <v>0</v>
      </c>
    </row>
    <row r="128" ht="14.25" customHeight="1">
      <c r="A128" s="9"/>
      <c r="B128" s="9"/>
      <c r="H128" s="9"/>
      <c r="I128" s="27">
        <f t="shared" si="3"/>
        <v>0</v>
      </c>
    </row>
    <row r="129" ht="14.25" customHeight="1">
      <c r="A129" s="9"/>
      <c r="B129" s="9"/>
      <c r="H129" s="9"/>
      <c r="I129" s="27">
        <f t="shared" si="3"/>
        <v>0</v>
      </c>
    </row>
    <row r="130" ht="14.25" customHeight="1">
      <c r="A130" s="9"/>
      <c r="B130" s="9"/>
      <c r="H130" s="9"/>
      <c r="I130" s="27">
        <f t="shared" si="3"/>
        <v>0</v>
      </c>
    </row>
    <row r="131" ht="14.25" customHeight="1">
      <c r="A131" s="9"/>
      <c r="B131" s="9"/>
      <c r="H131" s="9"/>
      <c r="I131" s="27">
        <f t="shared" si="3"/>
        <v>0</v>
      </c>
    </row>
    <row r="132" ht="14.25" customHeight="1">
      <c r="A132" s="9"/>
      <c r="B132" s="9"/>
      <c r="H132" s="9"/>
      <c r="I132" s="27">
        <f t="shared" si="3"/>
        <v>0</v>
      </c>
    </row>
    <row r="133" ht="14.25" customHeight="1">
      <c r="A133" s="9"/>
      <c r="B133" s="9"/>
      <c r="H133" s="9"/>
      <c r="I133" s="27">
        <f t="shared" si="3"/>
        <v>0</v>
      </c>
    </row>
    <row r="134" ht="14.25" customHeight="1">
      <c r="A134" s="9"/>
      <c r="B134" s="9"/>
      <c r="H134" s="9"/>
      <c r="I134" s="27">
        <f t="shared" si="3"/>
        <v>0</v>
      </c>
    </row>
    <row r="135" ht="14.25" customHeight="1">
      <c r="A135" s="9"/>
      <c r="B135" s="9"/>
      <c r="H135" s="9"/>
      <c r="I135" s="27">
        <f t="shared" si="3"/>
        <v>0</v>
      </c>
    </row>
    <row r="136" ht="14.25" customHeight="1">
      <c r="A136" s="9"/>
      <c r="B136" s="9"/>
      <c r="H136" s="9"/>
      <c r="I136" s="27">
        <f t="shared" si="3"/>
        <v>0</v>
      </c>
    </row>
    <row r="137" ht="14.25" customHeight="1">
      <c r="A137" s="9"/>
      <c r="B137" s="9"/>
      <c r="H137" s="9"/>
      <c r="I137" s="27">
        <f t="shared" si="3"/>
        <v>0</v>
      </c>
    </row>
    <row r="138" ht="14.25" customHeight="1">
      <c r="A138" s="9"/>
      <c r="B138" s="9"/>
      <c r="H138" s="9"/>
      <c r="I138" s="27">
        <f t="shared" si="3"/>
        <v>0</v>
      </c>
    </row>
    <row r="139" ht="14.25" customHeight="1">
      <c r="A139" s="9"/>
      <c r="B139" s="9"/>
      <c r="H139" s="9"/>
      <c r="I139" s="27">
        <f t="shared" si="3"/>
        <v>0</v>
      </c>
    </row>
    <row r="140" ht="14.25" customHeight="1">
      <c r="A140" s="9"/>
      <c r="B140" s="9"/>
      <c r="H140" s="9"/>
      <c r="I140" s="27">
        <f t="shared" si="3"/>
        <v>0</v>
      </c>
    </row>
    <row r="141" ht="14.25" customHeight="1">
      <c r="A141" s="9"/>
      <c r="B141" s="9"/>
      <c r="H141" s="9"/>
      <c r="I141" s="27">
        <f t="shared" si="3"/>
        <v>0</v>
      </c>
    </row>
    <row r="142" ht="14.25" customHeight="1">
      <c r="A142" s="9"/>
      <c r="B142" s="9"/>
      <c r="H142" s="9"/>
      <c r="I142" s="27">
        <f t="shared" si="3"/>
        <v>0</v>
      </c>
    </row>
    <row r="143" ht="14.25" customHeight="1">
      <c r="A143" s="9"/>
      <c r="B143" s="9"/>
      <c r="H143" s="9"/>
      <c r="I143" s="27">
        <f t="shared" si="3"/>
        <v>0</v>
      </c>
    </row>
    <row r="144" ht="14.25" customHeight="1">
      <c r="A144" s="9"/>
      <c r="B144" s="9"/>
      <c r="H144" s="9"/>
      <c r="I144" s="27">
        <f t="shared" si="3"/>
        <v>0</v>
      </c>
    </row>
    <row r="145" ht="14.25" customHeight="1">
      <c r="A145" s="9"/>
      <c r="B145" s="9"/>
      <c r="H145" s="9"/>
      <c r="I145" s="9"/>
    </row>
    <row r="146" ht="14.25" customHeight="1">
      <c r="A146" s="9"/>
      <c r="B146" s="9"/>
      <c r="H146" s="9"/>
      <c r="I146" s="9"/>
    </row>
    <row r="147" ht="14.25" customHeight="1">
      <c r="A147" s="9"/>
      <c r="B147" s="9"/>
      <c r="H147" s="9"/>
      <c r="I147" s="9"/>
    </row>
    <row r="148" ht="14.25" customHeight="1">
      <c r="A148" s="9"/>
      <c r="B148" s="9"/>
      <c r="H148" s="9"/>
      <c r="I148" s="9"/>
    </row>
    <row r="149" ht="14.25" customHeight="1">
      <c r="A149" s="9"/>
      <c r="B149" s="9"/>
      <c r="H149" s="9"/>
      <c r="I149" s="9"/>
    </row>
    <row r="150" ht="14.25" customHeight="1">
      <c r="A150" s="9"/>
      <c r="B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>
      <c r="A419" s="23">
        <v>23.0</v>
      </c>
      <c r="B419" s="13"/>
      <c r="C419" s="13"/>
      <c r="E419" s="13"/>
      <c r="F419" s="13"/>
      <c r="G419" s="9"/>
      <c r="H419" s="9"/>
      <c r="I419" s="27"/>
      <c r="J419" s="28"/>
      <c r="K419" s="46"/>
      <c r="L419" s="13"/>
      <c r="M419" s="13"/>
      <c r="N419" s="13"/>
      <c r="O419" s="13"/>
      <c r="P419" s="9"/>
    </row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AI$996"/>
  <dataValidations>
    <dataValidation type="list" allowBlank="1" showErrorMessage="1" sqref="B2:B12 B14:B29 B31:B43 B44:C44 B46:B150 B419">
      <formula1>'Suivi Client'!$C$2:$C$200</formula1>
    </dataValidation>
    <dataValidation type="list" allowBlank="1" showErrorMessage="1" sqref="M2 L3:L21 L109:L120">
      <formula1>'LISTE DEROULANTE'!$A$1:$A$4</formula1>
    </dataValidation>
    <dataValidation type="list" allowBlank="1" showErrorMessage="1" sqref="L22:L108 L419">
      <formula1>'LISTE DEROULANTE'!$A$1:$A$5</formula1>
    </dataValidation>
    <dataValidation type="list" allowBlank="1" showErrorMessage="1" sqref="N2 M3:M121 M419">
      <formula1>'LISTE DEROULANTE'!$B$1:$B$3</formula1>
    </dataValidation>
  </dataValidations>
  <printOptions/>
  <pageMargins bottom="0.75" footer="0.0" header="0.0" left="0.7" right="0.7" top="0.75"/>
  <pageSetup paperSize="9" scale="4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15.29"/>
    <col customWidth="1" min="3" max="3" width="19.14"/>
    <col customWidth="1" min="7" max="7" width="13.29"/>
  </cols>
  <sheetData>
    <row r="1" ht="15.0" customHeight="1">
      <c r="A1" s="60"/>
      <c r="B1" s="60"/>
      <c r="C1" s="60"/>
      <c r="D1" s="60"/>
      <c r="E1" s="60"/>
      <c r="F1" s="61"/>
      <c r="G1" s="61"/>
      <c r="H1" s="61"/>
      <c r="I1" s="62"/>
      <c r="J1" s="62"/>
      <c r="K1" s="62"/>
      <c r="L1" s="60"/>
    </row>
    <row r="2" ht="15.0" customHeight="1">
      <c r="A2" s="60"/>
      <c r="B2" s="60"/>
      <c r="D2" s="60"/>
      <c r="J2" s="60"/>
      <c r="K2" s="60"/>
      <c r="L2" s="60"/>
    </row>
    <row r="3" ht="84.0" customHeight="1">
      <c r="A3" s="63"/>
      <c r="B3" s="63"/>
      <c r="C3" s="63"/>
      <c r="D3" s="63"/>
      <c r="E3" s="63"/>
      <c r="F3" s="63"/>
      <c r="G3" s="63"/>
      <c r="H3" s="63"/>
      <c r="I3" s="60"/>
      <c r="J3" s="60"/>
      <c r="K3" s="60"/>
      <c r="L3" s="60"/>
    </row>
    <row r="4" ht="30.75" customHeight="1">
      <c r="A4" s="63"/>
      <c r="B4" s="64"/>
      <c r="C4" s="63"/>
      <c r="D4" s="63"/>
      <c r="E4" s="65"/>
      <c r="F4" s="65"/>
      <c r="G4" s="65"/>
      <c r="H4" s="63"/>
      <c r="I4" s="60"/>
      <c r="J4" s="60"/>
      <c r="K4" s="60"/>
      <c r="L4" s="60"/>
    </row>
    <row r="5" ht="31.5" customHeight="1">
      <c r="A5" s="63"/>
      <c r="B5" s="65"/>
      <c r="C5" s="66"/>
      <c r="D5" s="65"/>
      <c r="E5" s="67" t="s">
        <v>531</v>
      </c>
      <c r="F5" s="68"/>
      <c r="G5" s="68"/>
      <c r="H5" s="68"/>
      <c r="I5" s="69"/>
      <c r="J5" s="60"/>
      <c r="K5" s="70"/>
      <c r="L5" s="60"/>
    </row>
    <row r="6" ht="15.0" customHeight="1">
      <c r="A6" s="65"/>
      <c r="B6" s="65"/>
      <c r="C6" s="65"/>
      <c r="D6" s="65"/>
      <c r="E6" s="65"/>
      <c r="F6" s="65"/>
      <c r="G6" s="65"/>
      <c r="H6" s="65"/>
      <c r="I6" s="70"/>
      <c r="J6" s="60"/>
      <c r="K6" s="70"/>
      <c r="L6" s="60"/>
    </row>
    <row r="7" ht="15.0" customHeight="1">
      <c r="A7" s="71"/>
      <c r="B7" s="69"/>
      <c r="C7" s="72" t="s">
        <v>532</v>
      </c>
      <c r="D7" s="69"/>
      <c r="E7" s="65"/>
      <c r="F7" s="65"/>
      <c r="G7" s="71"/>
      <c r="H7" s="69"/>
      <c r="I7" s="71"/>
      <c r="J7" s="68"/>
      <c r="K7" s="69"/>
      <c r="L7" s="63"/>
    </row>
    <row r="8" ht="21.0" customHeight="1">
      <c r="A8" s="71"/>
      <c r="B8" s="69"/>
      <c r="C8" s="71"/>
      <c r="D8" s="69"/>
      <c r="E8" s="65"/>
      <c r="F8" s="65"/>
      <c r="G8" s="73" t="s">
        <v>533</v>
      </c>
      <c r="H8" s="69"/>
      <c r="I8" s="74" t="str">
        <f>VLOOKUP(C16,'Suivi Facturation 2025'!$A$1:$K$10002,2,FALSE)</f>
        <v>Paul Briest</v>
      </c>
      <c r="J8" s="75"/>
      <c r="K8" s="76"/>
    </row>
    <row r="9" ht="24.75" customHeight="1">
      <c r="A9" s="71"/>
      <c r="B9" s="69"/>
      <c r="C9" s="71"/>
      <c r="D9" s="69"/>
      <c r="E9" s="65"/>
      <c r="F9" s="65"/>
      <c r="G9" s="73" t="s">
        <v>3</v>
      </c>
      <c r="H9" s="69"/>
      <c r="I9" s="74" t="str">
        <f>VLOOKUP(I8,'Suivi Client'!C2:H2960,3,FALSE)</f>
        <v>2 RUE ST REMY</v>
      </c>
      <c r="J9" s="63"/>
      <c r="K9" s="63"/>
      <c r="L9" s="63"/>
    </row>
    <row r="10" ht="19.5" customHeight="1">
      <c r="A10" s="71"/>
      <c r="B10" s="69"/>
      <c r="C10" s="71"/>
      <c r="D10" s="69"/>
      <c r="E10" s="65"/>
      <c r="F10" s="65"/>
      <c r="G10" s="77"/>
      <c r="H10" s="69"/>
      <c r="I10" s="77">
        <f>VLOOKUP(I8,'Suivi Client'!C2:H2960,4,FALSE)</f>
        <v>51150</v>
      </c>
      <c r="J10" s="75" t="str">
        <f>VLOOKUP(I8,'Suivi Client'!C2:H2960,5,FALSE)</f>
        <v>Athis</v>
      </c>
      <c r="K10" s="78"/>
      <c r="L10" s="63"/>
    </row>
    <row r="11" ht="15.0" customHeight="1">
      <c r="A11" s="71"/>
      <c r="B11" s="69"/>
      <c r="C11" s="71"/>
      <c r="D11" s="69"/>
      <c r="E11" s="65"/>
      <c r="F11" s="65"/>
      <c r="G11" s="73"/>
      <c r="H11" s="69"/>
      <c r="I11" s="77"/>
      <c r="J11" s="68"/>
      <c r="K11" s="69"/>
      <c r="L11" s="63"/>
    </row>
    <row r="12">
      <c r="A12" s="71"/>
      <c r="B12" s="69"/>
      <c r="C12" s="65"/>
      <c r="D12" s="65"/>
      <c r="E12" s="65"/>
      <c r="F12" s="65"/>
      <c r="G12" s="73" t="s">
        <v>534</v>
      </c>
      <c r="H12" s="69"/>
      <c r="I12" s="79" t="str">
        <f>IF(VLOOKUP(I8,'Suivi Client'!$C$2:$H$2000,2,FALSE)=0,"",VLOOKUP(I8,'Suivi Client'!$C$2:$H$2000,2,FALSE))</f>
        <v>paul.briestcastaldo@gmail.com</v>
      </c>
      <c r="J12" s="80"/>
      <c r="K12" s="80"/>
      <c r="L12" s="63"/>
    </row>
    <row r="13">
      <c r="A13" s="81"/>
      <c r="B13" s="69"/>
      <c r="C13" s="81"/>
      <c r="D13" s="69"/>
      <c r="E13" s="65"/>
      <c r="F13" s="65"/>
      <c r="G13" s="71"/>
      <c r="H13" s="69"/>
      <c r="I13" s="71"/>
      <c r="J13" s="68"/>
      <c r="K13" s="69"/>
      <c r="L13" s="63"/>
    </row>
    <row r="14">
      <c r="A14" s="81"/>
      <c r="B14" s="69"/>
      <c r="C14" s="81"/>
      <c r="D14" s="69"/>
      <c r="E14" s="65"/>
      <c r="F14" s="65"/>
      <c r="G14" s="71"/>
      <c r="H14" s="69"/>
      <c r="I14" s="65"/>
      <c r="J14" s="63"/>
      <c r="K14" s="65"/>
      <c r="L14" s="63"/>
      <c r="M14" s="11">
        <v>23.0</v>
      </c>
    </row>
    <row r="15">
      <c r="A15" s="82"/>
      <c r="B15" s="83"/>
      <c r="C15" s="84"/>
      <c r="D15" s="85"/>
      <c r="E15" s="65"/>
      <c r="F15" s="65"/>
      <c r="G15" s="65"/>
      <c r="H15" s="86"/>
      <c r="I15" s="87"/>
      <c r="J15" s="60"/>
      <c r="K15" s="70"/>
      <c r="L15" s="60"/>
    </row>
    <row r="16">
      <c r="A16" s="88"/>
      <c r="B16" s="89"/>
      <c r="C16" s="90">
        <v>66.0</v>
      </c>
      <c r="D16" s="85"/>
      <c r="E16" s="70"/>
      <c r="F16" s="70"/>
      <c r="G16" s="70"/>
      <c r="H16" s="87"/>
      <c r="I16" s="87"/>
      <c r="J16" s="60"/>
      <c r="K16" s="70"/>
      <c r="L16" s="60"/>
    </row>
    <row r="17">
      <c r="A17" s="91" t="s">
        <v>442</v>
      </c>
      <c r="B17" s="92"/>
      <c r="C17" s="93">
        <v>46065.0</v>
      </c>
      <c r="E17" s="70"/>
      <c r="F17" s="70"/>
      <c r="G17" s="70"/>
      <c r="H17" s="87"/>
      <c r="I17" s="87"/>
      <c r="J17" s="60"/>
      <c r="K17" s="70"/>
      <c r="L17" s="60"/>
    </row>
    <row r="18">
      <c r="A18" s="94"/>
      <c r="B18" s="94"/>
      <c r="C18" s="95"/>
      <c r="D18" s="60"/>
      <c r="E18" s="70"/>
      <c r="F18" s="70"/>
      <c r="G18" s="70"/>
      <c r="H18" s="87"/>
      <c r="I18" s="87"/>
      <c r="J18" s="60"/>
      <c r="K18" s="70"/>
      <c r="L18" s="60"/>
    </row>
    <row r="19">
      <c r="A19" s="87"/>
      <c r="B19" s="87"/>
      <c r="C19" s="60"/>
      <c r="D19" s="96"/>
      <c r="E19" s="63"/>
      <c r="F19" s="70"/>
      <c r="G19" s="70"/>
      <c r="H19" s="87"/>
      <c r="I19" s="87"/>
      <c r="J19" s="60"/>
      <c r="K19" s="70"/>
      <c r="L19" s="60"/>
    </row>
    <row r="20">
      <c r="A20" s="70"/>
      <c r="B20" s="97"/>
      <c r="C20" s="97"/>
      <c r="D20" s="97"/>
      <c r="E20" s="97"/>
      <c r="F20" s="97"/>
      <c r="G20" s="97"/>
      <c r="H20" s="70"/>
      <c r="I20" s="70"/>
      <c r="J20" s="70"/>
      <c r="K20" s="97"/>
      <c r="L20" s="60"/>
    </row>
    <row r="21" ht="15.75" customHeight="1">
      <c r="A21" s="98" t="s">
        <v>535</v>
      </c>
      <c r="B21" s="99" t="s">
        <v>536</v>
      </c>
      <c r="C21" s="100"/>
      <c r="D21" s="100"/>
      <c r="E21" s="100"/>
      <c r="F21" s="100"/>
      <c r="G21" s="101"/>
      <c r="H21" s="102" t="s">
        <v>537</v>
      </c>
      <c r="I21" s="103" t="s">
        <v>449</v>
      </c>
      <c r="J21" s="101"/>
      <c r="K21" s="103" t="s">
        <v>538</v>
      </c>
      <c r="L21" s="101"/>
    </row>
    <row r="22" ht="15.75" customHeight="1">
      <c r="A22" s="104"/>
      <c r="B22" s="105"/>
      <c r="C22" s="106"/>
      <c r="D22" s="106"/>
      <c r="E22" s="106"/>
      <c r="F22" s="106"/>
      <c r="G22" s="107"/>
      <c r="H22" s="104"/>
      <c r="I22" s="105"/>
      <c r="J22" s="107"/>
      <c r="K22" s="105"/>
      <c r="L22" s="107"/>
    </row>
    <row r="23" ht="15.75" customHeight="1">
      <c r="A23" s="108" t="str">
        <f>IF(VLOOKUP($C$16,'Suivi Facturation 2025'!$A$2:$M$1096,3,FALSE)&gt;0,"0,75","")</f>
        <v>0,75</v>
      </c>
      <c r="B23" s="109" t="str">
        <f>IF(VLOOKUP($C$16,'Suivi Facturation 2025'!$A$2:$M$978,3,FALSE)&gt;0,"Bouteille CHAMPAGNE SELECTION","")</f>
        <v>Bouteille CHAMPAGNE SELECTION</v>
      </c>
      <c r="C23" s="110"/>
      <c r="D23" s="110"/>
      <c r="E23" s="110"/>
      <c r="F23" s="110"/>
      <c r="G23" s="111"/>
      <c r="H23" s="112">
        <f>IF(VLOOKUP($C$16,'Suivi Facturation 2025'!$A$2:$M$1096,3,FALSE)&gt;0,VLOOKUP($C$16,'Suivi Facturation 2025'!$A$2:$M$1096,3,FALSE),"")</f>
        <v>24</v>
      </c>
      <c r="I23" s="113">
        <f>IF(VLOOKUP($C$16,'Suivi Facturation 2025'!$A$2:$M$1096,3,FALSE)&gt;0,'Suivi Facturation 2025'!S2,"")</f>
        <v>17</v>
      </c>
      <c r="J23" s="114"/>
      <c r="K23" s="115">
        <f>IF(VLOOKUP($C$16,'Suivi Facturation 2025'!$A$2:$M$1096,3,FALSE)&gt;0,I23*H23,"")</f>
        <v>408</v>
      </c>
      <c r="L23" s="114"/>
    </row>
    <row r="24" ht="15.75" customHeight="1">
      <c r="A24" s="108" t="str">
        <f>IF(VLOOKUP($C$16,'Suivi Facturation 2025'!$A$2:$M$1096,4,FALSE)&gt;0,"0,75","")</f>
        <v/>
      </c>
      <c r="B24" s="116" t="str">
        <f>IF(VLOOKUP($C$16,'Suivi Facturation 2025'!$A$2:$M$978,4,FALSE)&gt;0,"Bouteille CHAMPAGNE ROSE","")</f>
        <v/>
      </c>
      <c r="C24" s="68"/>
      <c r="D24" s="68"/>
      <c r="E24" s="68"/>
      <c r="F24" s="68"/>
      <c r="G24" s="114"/>
      <c r="H24" s="112" t="str">
        <f>IF(VLOOKUP($C$16,'Suivi Facturation 2025'!$A$2:$M$1096,4,FALSE)&gt;0,VLOOKUP($C$16,'Suivi Facturation 2025'!$A$2:$M$1096,4,FALSE),"")</f>
        <v/>
      </c>
      <c r="I24" s="113" t="str">
        <f>IF(VLOOKUP($C$16,'Suivi Facturation 2025'!$A$2:$M$1096,4,FALSE)&gt;0,'Suivi Facturation 2025'!S3,"")</f>
        <v/>
      </c>
      <c r="J24" s="114"/>
      <c r="K24" s="117" t="str">
        <f>IF(VLOOKUP($C$16,'Suivi Facturation 2025'!$A$2:$M$1096,4,FALSE)&gt;0,I24*H24,"")</f>
        <v/>
      </c>
      <c r="L24" s="114"/>
    </row>
    <row r="25" ht="15.75" customHeight="1">
      <c r="A25" s="108" t="str">
        <f>IF(VLOOKUP($C$16,'Suivi Facturation 2025'!$A$2:$M$1096,5,FALSE)&gt;0,"0,75","")</f>
        <v>0,75</v>
      </c>
      <c r="B25" s="116" t="str">
        <f>IF(VLOOKUP($C$16,'Suivi Facturation 2025'!$A$2:$M$978,5,FALSE)&gt;0,"Bouteille CHAMPAGNE BLANC DE BLANC","")</f>
        <v>Bouteille CHAMPAGNE BLANC DE BLANC</v>
      </c>
      <c r="C25" s="68"/>
      <c r="D25" s="68"/>
      <c r="E25" s="68"/>
      <c r="F25" s="68"/>
      <c r="G25" s="114"/>
      <c r="H25" s="112">
        <f>IF(VLOOKUP($C$16,'Suivi Facturation 2025'!$A$2:$M$1996,5,FALSE)&gt;0,VLOOKUP($C$16,'Suivi Facturation 2025'!$A$2:$M$1996,5,FALSE),"")</f>
        <v>18</v>
      </c>
      <c r="I25" s="113">
        <f>IF(VLOOKUP($C$16,'Suivi Facturation 2025'!$A$2:$M$1096,5,FALSE)&gt;0,'Suivi Facturation 2025'!S4,"")</f>
        <v>18.5</v>
      </c>
      <c r="J25" s="114"/>
      <c r="K25" s="81">
        <f>IF(VLOOKUP($C$16,'Suivi Facturation 2025'!$A$2:$M$1096,5,FALSE)&gt;0,I25*H25,"")</f>
        <v>333</v>
      </c>
      <c r="L25" s="114"/>
    </row>
    <row r="26" ht="15.75" customHeight="1">
      <c r="A26" s="108" t="str">
        <f>IF(VLOOKUP($C$16,'Suivi Facturation 2025'!$A$2:$M$1096,6,FALSE)&gt;0,"0,75","")</f>
        <v/>
      </c>
      <c r="B26" s="116" t="str">
        <f>IF(VLOOKUP($C$16,'Suivi Facturation 2025'!$A$2:$M$1096,6,FALSE)&gt;0,"Bouteille CHAMPAGNE PRESTIGE","")</f>
        <v/>
      </c>
      <c r="C26" s="68"/>
      <c r="D26" s="68"/>
      <c r="E26" s="68"/>
      <c r="F26" s="68"/>
      <c r="G26" s="114"/>
      <c r="H26" s="112" t="str">
        <f>IF(VLOOKUP($C$16,'Suivi Facturation 2025'!$A$2:$M$1096,6,FALSE)&gt;0,VLOOKUP($C$16,'Suivi Facturation 2025'!$A$2:$M$1096,6,FALSE),"")</f>
        <v/>
      </c>
      <c r="I26" s="113" t="str">
        <f>IF(VLOOKUP($C$16,'Suivi Facturation 2025'!$A$2:$M$1096,6,FALSE)&gt;0,'Suivi Facturation 2025'!S5,"")</f>
        <v/>
      </c>
      <c r="J26" s="114"/>
      <c r="K26" s="81" t="str">
        <f>IF(VLOOKUP($C$16,'Suivi Facturation 2025'!$A$2:$M$1096,6,FALSE)&gt;0,I26*H26,"")</f>
        <v/>
      </c>
      <c r="L26" s="114"/>
    </row>
    <row r="27" ht="15.75" customHeight="1">
      <c r="A27" s="108" t="str">
        <f>IF(VLOOKUP($C$16,'Suivi Facturation 2025'!$A$2:$M$1096,7,FALSE)&gt;0,"1,5","")</f>
        <v/>
      </c>
      <c r="B27" s="116" t="str">
        <f>IF(VLOOKUP($C$16,'Suivi Facturation 2025'!$A$2:$M$1096,7,FALSE)&gt;0,"MAGNUM SELECTION","")</f>
        <v/>
      </c>
      <c r="C27" s="68"/>
      <c r="D27" s="68"/>
      <c r="E27" s="68"/>
      <c r="F27" s="68"/>
      <c r="G27" s="114"/>
      <c r="H27" s="112" t="str">
        <f>IF(VLOOKUP($C$16,'Suivi Facturation 2025'!$A$2:$M$1096,7,FALSE)&gt;0,VLOOKUP($C$16,'Suivi Facturation 2025'!$A$2:$M$1096,7,FALSE),"")</f>
        <v/>
      </c>
      <c r="I27" s="113" t="str">
        <f>IF(VLOOKUP($C$16,'Suivi Facturation 2025'!$A$2:$M$1096,7,FALSE)&gt;0,'Suivi Facturation 2025'!S6,"")</f>
        <v/>
      </c>
      <c r="J27" s="114"/>
      <c r="K27" s="81" t="str">
        <f>IF(VLOOKUP($C$16,'Suivi Facturation 2025'!$A$2:$M$1096,7,FALSE)&gt;0,I27*H27,"")</f>
        <v/>
      </c>
      <c r="L27" s="114"/>
    </row>
    <row r="28" ht="15.75" customHeight="1">
      <c r="B28" s="116" t="str">
        <f>IF(VLOOKUP($C$16,'Suivi Facturation 2025'!$A$2:$P$1978,16,FALSE)&gt;0,"PRIX LIVRAISON","")</f>
        <v/>
      </c>
      <c r="C28" s="68"/>
      <c r="D28" s="68"/>
      <c r="E28" s="68"/>
      <c r="F28" s="68"/>
      <c r="G28" s="114"/>
      <c r="H28" s="118"/>
      <c r="K28" s="119" t="str">
        <f>IF(VLOOKUP($C$16,'Suivi Facturation 2025'!$A$2:$P$1978,16,FALSE)&gt;0,VLOOKUP($C$16,'Suivi Facturation 2025'!$A$2:$P$1978,16,FALSE),"")</f>
        <v/>
      </c>
      <c r="L28" s="114"/>
    </row>
    <row r="29" ht="90.75" customHeight="1">
      <c r="A29" s="120"/>
      <c r="B29" s="121"/>
      <c r="C29" s="121"/>
      <c r="D29" s="121"/>
      <c r="E29" s="122"/>
      <c r="F29" s="122"/>
      <c r="G29" s="122"/>
      <c r="H29" s="123"/>
      <c r="I29" s="122"/>
      <c r="J29" s="112"/>
      <c r="K29" s="122"/>
      <c r="L29" s="112"/>
    </row>
    <row r="30" ht="49.5" customHeight="1">
      <c r="A30" s="124"/>
      <c r="B30" s="71"/>
      <c r="C30" s="68"/>
      <c r="D30" s="69"/>
      <c r="E30" s="125"/>
      <c r="F30" s="126"/>
      <c r="G30" s="126"/>
      <c r="H30" s="127"/>
      <c r="I30" s="71"/>
      <c r="J30" s="114"/>
      <c r="K30" s="71"/>
      <c r="L30" s="114"/>
    </row>
    <row r="31" ht="15.75" customHeight="1">
      <c r="A31" s="124"/>
      <c r="B31" s="71"/>
      <c r="C31" s="68"/>
      <c r="D31" s="69"/>
      <c r="E31" s="126"/>
      <c r="F31" s="126"/>
      <c r="G31" s="126"/>
      <c r="H31" s="127"/>
      <c r="I31" s="71"/>
      <c r="J31" s="114"/>
      <c r="K31" s="71"/>
      <c r="L31" s="114"/>
    </row>
    <row r="32" ht="27.75" customHeight="1">
      <c r="A32" s="124"/>
      <c r="B32" s="71"/>
      <c r="C32" s="68"/>
      <c r="D32" s="69"/>
      <c r="E32" s="126"/>
      <c r="F32" s="126"/>
      <c r="G32" s="126"/>
      <c r="H32" s="127"/>
      <c r="I32" s="72"/>
      <c r="J32" s="114"/>
      <c r="K32" s="72"/>
      <c r="L32" s="114"/>
    </row>
    <row r="33" ht="15.75" customHeight="1">
      <c r="A33" s="124"/>
      <c r="B33" s="71"/>
      <c r="C33" s="68"/>
      <c r="D33" s="69"/>
      <c r="E33" s="126"/>
      <c r="F33" s="126"/>
      <c r="G33" s="126"/>
      <c r="H33" s="127"/>
      <c r="I33" s="71"/>
      <c r="J33" s="114"/>
      <c r="K33" s="71"/>
      <c r="L33" s="114"/>
    </row>
    <row r="34" ht="15.75" customHeight="1">
      <c r="A34" s="124"/>
      <c r="B34" s="71"/>
      <c r="C34" s="68"/>
      <c r="D34" s="69"/>
      <c r="E34" s="126"/>
      <c r="F34" s="126"/>
      <c r="G34" s="126"/>
      <c r="H34" s="127"/>
      <c r="I34" s="71"/>
      <c r="J34" s="114"/>
      <c r="K34" s="71"/>
      <c r="L34" s="114"/>
    </row>
    <row r="35" ht="15.75" customHeight="1">
      <c r="A35" s="128"/>
      <c r="B35" s="129"/>
      <c r="C35" s="130"/>
      <c r="D35" s="92"/>
      <c r="E35" s="131"/>
      <c r="F35" s="131"/>
      <c r="G35" s="131"/>
      <c r="H35" s="132"/>
      <c r="I35" s="129"/>
      <c r="J35" s="133"/>
      <c r="K35" s="129"/>
      <c r="L35" s="133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</row>
    <row r="37" ht="15.75" customHeight="1">
      <c r="A37" s="70"/>
      <c r="B37" s="70"/>
      <c r="C37" s="70"/>
      <c r="D37" s="70"/>
      <c r="E37" s="70"/>
      <c r="F37" s="70"/>
      <c r="G37" s="70"/>
      <c r="H37" s="60"/>
      <c r="I37" s="60"/>
      <c r="J37" s="60"/>
      <c r="K37" s="134" t="s">
        <v>539</v>
      </c>
      <c r="L37" s="135">
        <f>SUM(K23:L30)-L38</f>
        <v>617.5</v>
      </c>
    </row>
    <row r="38" ht="15.75" customHeight="1">
      <c r="A38" s="70"/>
      <c r="B38" s="70"/>
      <c r="C38" s="70"/>
      <c r="D38" s="70"/>
      <c r="E38" s="70"/>
      <c r="F38" s="70"/>
      <c r="G38" s="70"/>
      <c r="H38" s="60"/>
      <c r="I38" s="60"/>
      <c r="J38" s="60"/>
      <c r="K38" s="134" t="s">
        <v>540</v>
      </c>
      <c r="L38" s="135">
        <f>IFERROR(SUM(K23:L29)-SUM(K23:L29)/1.2,"")</f>
        <v>123.5</v>
      </c>
    </row>
    <row r="39" ht="15.75" customHeight="1">
      <c r="A39" s="70"/>
      <c r="B39" s="70"/>
      <c r="C39" s="70"/>
      <c r="D39" s="70"/>
      <c r="E39" s="70"/>
      <c r="F39" s="70"/>
      <c r="G39" s="70"/>
      <c r="H39" s="60"/>
      <c r="I39" s="60"/>
      <c r="J39" s="60"/>
      <c r="K39" s="134"/>
      <c r="L39" s="136"/>
    </row>
    <row r="40" ht="15.75" customHeight="1">
      <c r="A40" s="70"/>
      <c r="B40" s="70"/>
      <c r="C40" s="70"/>
      <c r="D40" s="70"/>
      <c r="E40" s="70"/>
      <c r="F40" s="70"/>
      <c r="G40" s="70"/>
      <c r="H40" s="60"/>
      <c r="I40" s="60"/>
      <c r="J40" s="60"/>
      <c r="K40" s="134" t="s">
        <v>541</v>
      </c>
      <c r="L40" s="137">
        <f>SUM(K23:L30)</f>
        <v>741</v>
      </c>
    </row>
    <row r="41" ht="15.75" customHeight="1">
      <c r="A41" s="70"/>
      <c r="B41" s="70"/>
      <c r="C41" s="70"/>
      <c r="D41" s="70"/>
      <c r="E41" s="70"/>
      <c r="F41" s="70"/>
      <c r="G41" s="70"/>
      <c r="H41" s="60"/>
      <c r="I41" s="60"/>
      <c r="J41" s="60"/>
      <c r="K41" s="138"/>
      <c r="L41" s="60"/>
    </row>
    <row r="42" ht="15.75" customHeight="1">
      <c r="A42" s="139" t="s">
        <v>542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1"/>
    </row>
    <row r="43" ht="15.75" customHeight="1">
      <c r="A43" s="142"/>
      <c r="L43" s="143"/>
    </row>
    <row r="44" ht="15.75" customHeight="1">
      <c r="A44" s="142"/>
      <c r="L44" s="143"/>
    </row>
    <row r="45" ht="15.75" customHeight="1">
      <c r="A45" s="142"/>
      <c r="L45" s="143"/>
    </row>
    <row r="46" ht="64.5" customHeight="1">
      <c r="A46" s="142"/>
      <c r="L46" s="143"/>
    </row>
    <row r="47" ht="15.75" hidden="1" customHeight="1">
      <c r="A47" s="144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6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</row>
    <row r="54" ht="15.75" customHeight="1">
      <c r="A54" s="147" t="s">
        <v>543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48"/>
    </row>
    <row r="55" ht="15.75" customHeight="1">
      <c r="A55" s="142"/>
      <c r="L55" s="143"/>
    </row>
    <row r="56" ht="57.0" customHeight="1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6"/>
    </row>
    <row r="57" ht="37.5" customHeight="1"/>
    <row r="58" ht="15.75" customHeight="1"/>
    <row r="59" ht="15.75" customHeight="1"/>
    <row r="60" ht="15.75" customHeight="1">
      <c r="G60" s="149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2">
    <mergeCell ref="K27:L27"/>
    <mergeCell ref="K28:L28"/>
    <mergeCell ref="I23:J23"/>
    <mergeCell ref="I24:J24"/>
    <mergeCell ref="I25:J25"/>
    <mergeCell ref="K25:L25"/>
    <mergeCell ref="I26:J26"/>
    <mergeCell ref="K26:L26"/>
    <mergeCell ref="I27:J27"/>
    <mergeCell ref="B21:G22"/>
    <mergeCell ref="H21:H22"/>
    <mergeCell ref="I21:J22"/>
    <mergeCell ref="K21:L22"/>
    <mergeCell ref="B23:G23"/>
    <mergeCell ref="K23:L23"/>
    <mergeCell ref="K24:L24"/>
    <mergeCell ref="B24:G24"/>
    <mergeCell ref="B25:G25"/>
    <mergeCell ref="B26:G26"/>
    <mergeCell ref="B27:G27"/>
    <mergeCell ref="B28:G28"/>
    <mergeCell ref="I30:J30"/>
    <mergeCell ref="K30:L30"/>
    <mergeCell ref="E5:I5"/>
    <mergeCell ref="A7:B7"/>
    <mergeCell ref="C7:D7"/>
    <mergeCell ref="G7:H7"/>
    <mergeCell ref="I7:K7"/>
    <mergeCell ref="C8:D8"/>
    <mergeCell ref="G8:H8"/>
    <mergeCell ref="A8:B8"/>
    <mergeCell ref="A9:B9"/>
    <mergeCell ref="C9:D9"/>
    <mergeCell ref="G9:H9"/>
    <mergeCell ref="A10:B10"/>
    <mergeCell ref="C10:D10"/>
    <mergeCell ref="G10:H10"/>
    <mergeCell ref="G12:H12"/>
    <mergeCell ref="G13:H13"/>
    <mergeCell ref="G14:H14"/>
    <mergeCell ref="A11:B11"/>
    <mergeCell ref="C11:D11"/>
    <mergeCell ref="G11:H11"/>
    <mergeCell ref="I11:K11"/>
    <mergeCell ref="A12:B12"/>
    <mergeCell ref="C13:D13"/>
    <mergeCell ref="I13:K13"/>
    <mergeCell ref="A13:B13"/>
    <mergeCell ref="A14:B14"/>
    <mergeCell ref="C14:D14"/>
    <mergeCell ref="A15:C15"/>
    <mergeCell ref="A16:B16"/>
    <mergeCell ref="A17:B17"/>
    <mergeCell ref="A21:A22"/>
    <mergeCell ref="B30:D30"/>
    <mergeCell ref="B31:D31"/>
    <mergeCell ref="B32:D32"/>
    <mergeCell ref="B33:D33"/>
    <mergeCell ref="B34:D34"/>
    <mergeCell ref="B35:D35"/>
    <mergeCell ref="I34:J34"/>
    <mergeCell ref="I35:J35"/>
    <mergeCell ref="A42:L47"/>
    <mergeCell ref="A54:L56"/>
    <mergeCell ref="I31:J31"/>
    <mergeCell ref="K31:L31"/>
    <mergeCell ref="I32:J32"/>
    <mergeCell ref="K32:L32"/>
    <mergeCell ref="I33:J33"/>
    <mergeCell ref="K33:L33"/>
    <mergeCell ref="K34:L34"/>
    <mergeCell ref="K35:L35"/>
  </mergeCells>
  <conditionalFormatting sqref="C17">
    <cfRule type="notContainsBlanks" dxfId="3" priority="1">
      <formula>LEN(TRIM(C17))&gt;0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43"/>
    <col customWidth="1" min="2" max="2" width="15.29"/>
    <col customWidth="1" min="3" max="3" width="19.14"/>
    <col customWidth="1" min="7" max="7" width="13.29"/>
  </cols>
  <sheetData>
    <row r="1" ht="15.0" customHeight="1">
      <c r="A1" s="60"/>
      <c r="B1" s="60"/>
      <c r="C1" s="60"/>
      <c r="D1" s="60"/>
      <c r="E1" s="60"/>
      <c r="F1" s="61"/>
      <c r="G1" s="61"/>
      <c r="H1" s="61"/>
      <c r="I1" s="62"/>
      <c r="J1" s="62"/>
      <c r="K1" s="62"/>
      <c r="L1" s="60"/>
    </row>
    <row r="2" ht="15.0" customHeight="1">
      <c r="A2" s="60"/>
      <c r="B2" s="60"/>
      <c r="D2" s="60"/>
      <c r="J2" s="60"/>
      <c r="K2" s="60"/>
      <c r="L2" s="60"/>
    </row>
    <row r="3" ht="84.0" customHeight="1">
      <c r="A3" s="63"/>
      <c r="B3" s="63"/>
      <c r="C3" s="63"/>
      <c r="D3" s="63"/>
      <c r="E3" s="63"/>
      <c r="F3" s="63"/>
      <c r="G3" s="63"/>
      <c r="H3" s="63"/>
      <c r="I3" s="60"/>
      <c r="J3" s="60"/>
      <c r="K3" s="60"/>
      <c r="L3" s="60"/>
    </row>
    <row r="4" ht="30.75" customHeight="1">
      <c r="A4" s="63"/>
      <c r="B4" s="64"/>
      <c r="C4" s="63"/>
      <c r="D4" s="63"/>
      <c r="E4" s="65"/>
      <c r="F4" s="65"/>
      <c r="G4" s="65"/>
      <c r="H4" s="63"/>
      <c r="I4" s="60"/>
      <c r="J4" s="60"/>
      <c r="K4" s="60"/>
      <c r="L4" s="60"/>
    </row>
    <row r="5" ht="31.5" customHeight="1">
      <c r="A5" s="63"/>
      <c r="B5" s="65"/>
      <c r="C5" s="66"/>
      <c r="D5" s="65"/>
      <c r="E5" s="67" t="s">
        <v>531</v>
      </c>
      <c r="F5" s="68"/>
      <c r="G5" s="68"/>
      <c r="H5" s="68"/>
      <c r="I5" s="69"/>
      <c r="J5" s="60"/>
      <c r="K5" s="70"/>
      <c r="L5" s="60"/>
    </row>
    <row r="6" ht="15.0" customHeight="1">
      <c r="A6" s="65"/>
      <c r="B6" s="65"/>
      <c r="C6" s="65"/>
      <c r="D6" s="65"/>
      <c r="E6" s="65"/>
      <c r="F6" s="65"/>
      <c r="G6" s="65"/>
      <c r="H6" s="65"/>
      <c r="I6" s="70"/>
      <c r="J6" s="60"/>
      <c r="K6" s="70"/>
      <c r="L6" s="60"/>
    </row>
    <row r="7" ht="15.0" customHeight="1">
      <c r="A7" s="71"/>
      <c r="B7" s="69"/>
      <c r="C7" s="71"/>
      <c r="D7" s="69"/>
      <c r="E7" s="65"/>
      <c r="F7" s="65"/>
      <c r="G7" s="71"/>
      <c r="H7" s="69"/>
      <c r="I7" s="71"/>
      <c r="J7" s="68"/>
      <c r="K7" s="69"/>
      <c r="L7" s="63"/>
    </row>
    <row r="8" ht="21.0" customHeight="1">
      <c r="A8" s="71"/>
      <c r="B8" s="69"/>
      <c r="C8" s="71"/>
      <c r="D8" s="69"/>
      <c r="E8" s="65"/>
      <c r="F8" s="65"/>
      <c r="G8" s="73" t="s">
        <v>533</v>
      </c>
      <c r="H8" s="69"/>
      <c r="I8" s="74" t="str">
        <f>VLOOKUP(C16,'Suivi Facturation 2025'!$A$1:$K$10002,2,FALSE)</f>
        <v>DANIEL ACRES</v>
      </c>
      <c r="J8" s="75"/>
      <c r="K8" s="76"/>
    </row>
    <row r="9" ht="24.75" customHeight="1">
      <c r="A9" s="71"/>
      <c r="B9" s="69"/>
      <c r="C9" s="71"/>
      <c r="D9" s="69"/>
      <c r="E9" s="65"/>
      <c r="F9" s="65"/>
      <c r="G9" s="73" t="s">
        <v>3</v>
      </c>
      <c r="H9" s="69"/>
      <c r="I9" s="74" t="str">
        <f>VLOOKUP(I8,'Suivi Client'!C2:H2960,3,FALSE)</f>
        <v>16 VIA POGGIARDELLI</v>
      </c>
      <c r="J9" s="63"/>
      <c r="K9" s="63"/>
      <c r="L9" s="63"/>
    </row>
    <row r="10" ht="19.5" customHeight="1">
      <c r="A10" s="71"/>
      <c r="B10" s="69"/>
      <c r="C10" s="71"/>
      <c r="D10" s="69"/>
      <c r="E10" s="65"/>
      <c r="F10" s="65"/>
      <c r="G10" s="77"/>
      <c r="H10" s="69"/>
      <c r="I10" s="77">
        <f>VLOOKUP(I8,'Suivi Client'!C2:H2960,4,FALSE)</f>
        <v>53045</v>
      </c>
      <c r="J10" s="75" t="str">
        <f>VLOOKUP(I8,'Suivi Client'!C2:H2960,5,FALSE)</f>
        <v>MONTEOULCIANO</v>
      </c>
      <c r="K10" s="78"/>
      <c r="L10" s="63"/>
    </row>
    <row r="11" ht="15.0" customHeight="1">
      <c r="A11" s="71"/>
      <c r="B11" s="69"/>
      <c r="C11" s="71"/>
      <c r="D11" s="69"/>
      <c r="E11" s="65"/>
      <c r="F11" s="65"/>
      <c r="G11" s="73"/>
      <c r="H11" s="69"/>
      <c r="I11" s="77"/>
      <c r="J11" s="68"/>
      <c r="K11" s="69"/>
      <c r="L11" s="63"/>
    </row>
    <row r="12">
      <c r="A12" s="71"/>
      <c r="B12" s="69"/>
      <c r="C12" s="65"/>
      <c r="D12" s="65"/>
      <c r="E12" s="65"/>
      <c r="F12" s="65"/>
      <c r="G12" s="73" t="s">
        <v>534</v>
      </c>
      <c r="H12" s="69"/>
      <c r="I12" s="79" t="str">
        <f>IF(VLOOKUP(I8,'Suivi Client'!$C$2:$H$2000,2,FALSE)=0,"",VLOOKUP(I8,'Suivi Client'!$C$2:$H$2000,2,FALSE))</f>
        <v>dan.acres@gmail.com</v>
      </c>
      <c r="J12" s="80"/>
      <c r="K12" s="80"/>
      <c r="L12" s="63"/>
    </row>
    <row r="13">
      <c r="A13" s="81"/>
      <c r="B13" s="69"/>
      <c r="C13" s="81"/>
      <c r="D13" s="69"/>
      <c r="E13" s="65"/>
      <c r="F13" s="65"/>
      <c r="G13" s="71"/>
      <c r="H13" s="69"/>
      <c r="I13" s="71"/>
      <c r="J13" s="68"/>
      <c r="K13" s="69"/>
      <c r="L13" s="63"/>
    </row>
    <row r="14">
      <c r="A14" s="81"/>
      <c r="B14" s="69"/>
      <c r="C14" s="81"/>
      <c r="D14" s="69"/>
      <c r="E14" s="65"/>
      <c r="F14" s="65"/>
      <c r="G14" s="71"/>
      <c r="H14" s="69"/>
      <c r="I14" s="65"/>
      <c r="J14" s="63"/>
      <c r="K14" s="65"/>
      <c r="L14" s="63"/>
    </row>
    <row r="15">
      <c r="A15" s="150"/>
      <c r="B15" s="83"/>
      <c r="C15" s="84"/>
      <c r="D15" s="85"/>
      <c r="E15" s="65"/>
      <c r="F15" s="65"/>
      <c r="G15" s="65"/>
      <c r="H15" s="86"/>
      <c r="I15" s="87"/>
      <c r="J15" s="60"/>
      <c r="K15" s="70"/>
      <c r="L15" s="60"/>
    </row>
    <row r="16">
      <c r="A16" s="88" t="s">
        <v>544</v>
      </c>
      <c r="B16" s="89"/>
      <c r="C16" s="90">
        <v>58.0</v>
      </c>
      <c r="D16" s="85"/>
      <c r="E16" s="70"/>
      <c r="F16" s="70"/>
      <c r="G16" s="70"/>
      <c r="H16" s="87"/>
      <c r="I16" s="87"/>
      <c r="J16" s="60"/>
      <c r="K16" s="70"/>
      <c r="L16" s="60"/>
    </row>
    <row r="17">
      <c r="A17" s="91" t="s">
        <v>442</v>
      </c>
      <c r="B17" s="92"/>
      <c r="C17" s="151">
        <v>45985.0</v>
      </c>
      <c r="D17" s="85"/>
      <c r="E17" s="70"/>
      <c r="F17" s="70"/>
      <c r="G17" s="70"/>
      <c r="H17" s="87"/>
      <c r="I17" s="87"/>
      <c r="J17" s="60"/>
      <c r="K17" s="70"/>
      <c r="L17" s="60"/>
    </row>
    <row r="18">
      <c r="A18" s="94"/>
      <c r="B18" s="94"/>
      <c r="C18" s="152"/>
      <c r="D18" s="60"/>
      <c r="E18" s="70"/>
      <c r="F18" s="70"/>
      <c r="G18" s="70"/>
      <c r="H18" s="87"/>
      <c r="I18" s="87"/>
      <c r="J18" s="60"/>
      <c r="K18" s="70"/>
      <c r="L18" s="60"/>
    </row>
    <row r="19">
      <c r="A19" s="87"/>
      <c r="B19" s="87"/>
      <c r="C19" s="60"/>
      <c r="D19" s="96"/>
      <c r="E19" s="63"/>
      <c r="F19" s="70"/>
      <c r="G19" s="70"/>
      <c r="H19" s="87"/>
      <c r="I19" s="87"/>
      <c r="J19" s="60"/>
      <c r="K19" s="70"/>
      <c r="L19" s="60"/>
    </row>
    <row r="20">
      <c r="A20" s="70"/>
      <c r="B20" s="97"/>
      <c r="C20" s="97"/>
      <c r="D20" s="97"/>
      <c r="E20" s="97"/>
      <c r="F20" s="97"/>
      <c r="G20" s="97"/>
      <c r="H20" s="70"/>
      <c r="I20" s="70"/>
      <c r="J20" s="70"/>
      <c r="K20" s="97"/>
      <c r="L20" s="60"/>
    </row>
    <row r="21" ht="15.75" customHeight="1">
      <c r="A21" s="98" t="s">
        <v>535</v>
      </c>
      <c r="B21" s="99" t="s">
        <v>536</v>
      </c>
      <c r="C21" s="100"/>
      <c r="D21" s="100"/>
      <c r="E21" s="100"/>
      <c r="F21" s="100"/>
      <c r="G21" s="101"/>
      <c r="H21" s="102" t="s">
        <v>537</v>
      </c>
      <c r="I21" s="153" t="s">
        <v>545</v>
      </c>
      <c r="J21" s="101"/>
      <c r="K21" s="153" t="s">
        <v>441</v>
      </c>
      <c r="L21" s="101"/>
    </row>
    <row r="22" ht="15.75" customHeight="1">
      <c r="A22" s="104"/>
      <c r="B22" s="105"/>
      <c r="C22" s="106"/>
      <c r="D22" s="106"/>
      <c r="E22" s="106"/>
      <c r="F22" s="106"/>
      <c r="G22" s="107"/>
      <c r="H22" s="104"/>
      <c r="I22" s="105"/>
      <c r="J22" s="107"/>
      <c r="K22" s="105"/>
      <c r="L22" s="107"/>
    </row>
    <row r="23" ht="15.75" customHeight="1">
      <c r="A23" s="108" t="str">
        <f>IF(VLOOKUP($C$16,'Suivi Facturation 2025'!$A$2:$M$1096,3,FALSE)&gt;0,"0,75","")</f>
        <v>0,75</v>
      </c>
      <c r="B23" s="109" t="str">
        <f>IF(VLOOKUP($C$16,'Suivi Facturation 2025'!$A$2:$M$978,3,FALSE)&gt;0,"Bouteille CHAMPAGNE SELECTION","")</f>
        <v>Bouteille CHAMPAGNE SELECTION</v>
      </c>
      <c r="C23" s="110"/>
      <c r="D23" s="110"/>
      <c r="E23" s="110"/>
      <c r="F23" s="110"/>
      <c r="G23" s="111"/>
      <c r="H23" s="112">
        <f>IF(VLOOKUP($C$16,'Suivi Facturation 2025'!$A$2:$M$1096,3,FALSE)&gt;0,VLOOKUP($C$16,'Suivi Facturation 2025'!$A$2:$M$1096,3,FALSE),"")</f>
        <v>36</v>
      </c>
      <c r="I23" s="113">
        <f>IF(VLOOKUP($C$16,'Suivi Facturation 2025'!$A$2:$M$1096,3,FALSE)&gt;0,'Suivi Facturation 2025'!S2,"")</f>
        <v>17</v>
      </c>
      <c r="J23" s="114"/>
      <c r="K23" s="115">
        <f>IF(VLOOKUP($C$16,'Suivi Facturation 2025'!$A$2:$M$1096,3,FALSE)&gt;0,I23*H23,"")</f>
        <v>612</v>
      </c>
      <c r="L23" s="114"/>
    </row>
    <row r="24" ht="15.75" customHeight="1">
      <c r="A24" s="108" t="str">
        <f>IF(VLOOKUP($C$16,'Suivi Facturation 2025'!$A$2:$M$1096,4,FALSE)&gt;0,"0,75","")</f>
        <v/>
      </c>
      <c r="B24" s="116" t="str">
        <f>IF(VLOOKUP($C$16,'Suivi Facturation 2025'!$A$2:$M$978,4,FALSE)&gt;0,"Bouteille CHAMPAGNE ROSE","")</f>
        <v/>
      </c>
      <c r="C24" s="68"/>
      <c r="D24" s="68"/>
      <c r="E24" s="68"/>
      <c r="F24" s="68"/>
      <c r="G24" s="114"/>
      <c r="H24" s="112" t="str">
        <f>IF(VLOOKUP($C$16,'Suivi Facturation 2025'!$A$2:$M$1096,4,FALSE)&gt;0,VLOOKUP($C$16,'Suivi Facturation 2025'!$A$2:$M$1096,4,FALSE),"")</f>
        <v/>
      </c>
      <c r="I24" s="113" t="str">
        <f>IF(VLOOKUP($C$16,'Suivi Facturation 2025'!$A$2:$M$1096,4,FALSE)&gt;0,'Suivi Facturation 2025'!S3,"")</f>
        <v/>
      </c>
      <c r="J24" s="114"/>
      <c r="K24" s="117" t="str">
        <f>IF(VLOOKUP($C$16,'Suivi Facturation 2025'!$A$2:$M$1096,4,FALSE)&gt;0,I24*H24,"")</f>
        <v/>
      </c>
      <c r="L24" s="114"/>
    </row>
    <row r="25" ht="15.75" customHeight="1">
      <c r="A25" s="108" t="str">
        <f>IF(VLOOKUP($C$16,'Suivi Facturation 2025'!$A$2:$M$1096,5,FALSE)&gt;0,"0,75","")</f>
        <v/>
      </c>
      <c r="B25" s="116" t="str">
        <f>IF(VLOOKUP($C$16,'Suivi Facturation 2025'!$A$2:$M$978,5,FALSE)&gt;0,"Bouteille CHAMPAGNE BLANC DE BLANC","")</f>
        <v/>
      </c>
      <c r="C25" s="68"/>
      <c r="D25" s="68"/>
      <c r="E25" s="68"/>
      <c r="F25" s="68"/>
      <c r="G25" s="114"/>
      <c r="H25" s="112" t="str">
        <f>IF(VLOOKUP($C$16,'Suivi Facturation 2025'!$A$2:$M$1996,5,FALSE)&gt;0,VLOOKUP($C$16,'Suivi Facturation 2025'!$A$2:$M$1996,5,FALSE),"")</f>
        <v/>
      </c>
      <c r="I25" s="113" t="str">
        <f>IF(VLOOKUP($C$16,'Suivi Facturation 2025'!$A$2:$M$1096,5,FALSE)&gt;0,'Suivi Facturation 2025'!S4,"")</f>
        <v/>
      </c>
      <c r="J25" s="114"/>
      <c r="K25" s="81" t="str">
        <f>IF(VLOOKUP($C$16,'Suivi Facturation 2025'!$A$2:$M$1096,5,FALSE)&gt;0,I25*H25,"")</f>
        <v/>
      </c>
      <c r="L25" s="114"/>
    </row>
    <row r="26" ht="15.75" customHeight="1">
      <c r="A26" s="108" t="str">
        <f>IF(VLOOKUP($C$16,'Suivi Facturation 2025'!$A$2:$M$1096,6,FALSE)&gt;0,"0,75","")</f>
        <v/>
      </c>
      <c r="B26" s="116" t="str">
        <f>IF(VLOOKUP($C$16,'Suivi Facturation 2025'!$A$2:$M$1096,6,FALSE)&gt;0,"Bouteille CHAMPAGNE PRESTIGE","")</f>
        <v/>
      </c>
      <c r="C26" s="68"/>
      <c r="D26" s="68"/>
      <c r="E26" s="68"/>
      <c r="F26" s="68"/>
      <c r="G26" s="114"/>
      <c r="H26" s="112" t="str">
        <f>IF(VLOOKUP($C$16,'Suivi Facturation 2025'!$A$2:$M$1096,6,FALSE)&gt;0,VLOOKUP($C$16,'Suivi Facturation 2025'!$A$2:$M$1096,6,FALSE),"")</f>
        <v/>
      </c>
      <c r="I26" s="113" t="str">
        <f>IF(VLOOKUP($C$16,'Suivi Facturation 2025'!$A$2:$M$1096,6,FALSE)&gt;0,'Suivi Facturation 2025'!S5,"")</f>
        <v/>
      </c>
      <c r="J26" s="114"/>
      <c r="K26" s="81" t="str">
        <f>IF(VLOOKUP($C$16,'Suivi Facturation 2025'!$A$2:$M$1096,6,FALSE)&gt;0,I26*H26,"")</f>
        <v/>
      </c>
      <c r="L26" s="114"/>
    </row>
    <row r="27" ht="15.75" customHeight="1">
      <c r="A27" s="108" t="str">
        <f>IF(VLOOKUP($C$16,'Suivi Facturation 2025'!$A$2:$M$1096,7,FALSE)&gt;0,"1,5","")</f>
        <v/>
      </c>
      <c r="B27" s="116" t="str">
        <f>IF(VLOOKUP($C$16,'Suivi Facturation 2025'!$A$2:$M$1096,7,FALSE)&gt;0,"MAGNUM SELECTION","")</f>
        <v/>
      </c>
      <c r="C27" s="68"/>
      <c r="D27" s="68"/>
      <c r="E27" s="68"/>
      <c r="F27" s="68"/>
      <c r="G27" s="114"/>
      <c r="H27" s="154"/>
      <c r="I27" s="113" t="str">
        <f>IF(VLOOKUP($C$16,'Suivi Facturation 2025'!$A$2:$M$1096,7,FALSE)&gt;0,'Suivi Facturation 2025'!S6,"")</f>
        <v/>
      </c>
      <c r="J27" s="114"/>
      <c r="K27" s="81" t="str">
        <f>IF(VLOOKUP($C$16,'Suivi Facturation 2025'!$A$2:$M$1096,7,FALSE)&gt;0,I27*H27,"")</f>
        <v/>
      </c>
      <c r="L27" s="114"/>
    </row>
    <row r="28" ht="15.75" customHeight="1">
      <c r="B28" s="116"/>
      <c r="C28" s="68"/>
      <c r="D28" s="68"/>
      <c r="E28" s="68"/>
      <c r="F28" s="68"/>
      <c r="G28" s="114"/>
      <c r="H28" s="118"/>
      <c r="K28" s="119"/>
      <c r="L28" s="114"/>
    </row>
    <row r="29" ht="90.75" customHeight="1">
      <c r="A29" s="120"/>
      <c r="B29" s="121"/>
      <c r="C29" s="121"/>
      <c r="D29" s="121"/>
      <c r="E29" s="122"/>
      <c r="F29" s="122"/>
      <c r="G29" s="122"/>
      <c r="H29" s="123"/>
      <c r="I29" s="122"/>
      <c r="J29" s="112"/>
      <c r="K29" s="122"/>
      <c r="L29" s="112"/>
    </row>
    <row r="30" ht="49.5" customHeight="1">
      <c r="A30" s="124"/>
      <c r="B30" s="71"/>
      <c r="C30" s="68"/>
      <c r="D30" s="69"/>
      <c r="E30" s="126"/>
      <c r="F30" s="126"/>
      <c r="G30" s="126"/>
      <c r="H30" s="127"/>
      <c r="I30" s="71"/>
      <c r="J30" s="114"/>
      <c r="K30" s="71"/>
      <c r="L30" s="114"/>
    </row>
    <row r="31" ht="15.75" customHeight="1">
      <c r="A31" s="124"/>
      <c r="B31" s="71"/>
      <c r="C31" s="68"/>
      <c r="D31" s="69"/>
      <c r="E31" s="126"/>
      <c r="F31" s="126"/>
      <c r="G31" s="126"/>
      <c r="H31" s="127"/>
      <c r="I31" s="71"/>
      <c r="J31" s="114"/>
      <c r="K31" s="71"/>
      <c r="L31" s="114"/>
    </row>
    <row r="32" ht="27.75" customHeight="1">
      <c r="A32" s="124"/>
      <c r="B32" s="71"/>
      <c r="C32" s="68"/>
      <c r="D32" s="69"/>
      <c r="E32" s="126"/>
      <c r="F32" s="126"/>
      <c r="G32" s="126"/>
      <c r="H32" s="127"/>
      <c r="I32" s="71"/>
      <c r="J32" s="114"/>
      <c r="K32" s="71"/>
      <c r="L32" s="114"/>
    </row>
    <row r="33" ht="15.75" customHeight="1">
      <c r="A33" s="124"/>
      <c r="B33" s="71"/>
      <c r="C33" s="68"/>
      <c r="D33" s="69"/>
      <c r="E33" s="126"/>
      <c r="F33" s="126"/>
      <c r="G33" s="126"/>
      <c r="H33" s="127"/>
      <c r="I33" s="71"/>
      <c r="J33" s="114"/>
      <c r="K33" s="71"/>
      <c r="L33" s="114"/>
    </row>
    <row r="34" ht="15.75" customHeight="1">
      <c r="A34" s="124"/>
      <c r="B34" s="71"/>
      <c r="C34" s="68"/>
      <c r="D34" s="69"/>
      <c r="E34" s="126"/>
      <c r="F34" s="126"/>
      <c r="G34" s="126"/>
      <c r="H34" s="127"/>
      <c r="I34" s="71"/>
      <c r="J34" s="114"/>
      <c r="K34" s="71"/>
      <c r="L34" s="114"/>
    </row>
    <row r="35" ht="15.75" customHeight="1">
      <c r="A35" s="128"/>
      <c r="B35" s="129"/>
      <c r="C35" s="130"/>
      <c r="D35" s="92"/>
      <c r="E35" s="131"/>
      <c r="F35" s="131"/>
      <c r="G35" s="131"/>
      <c r="H35" s="132"/>
      <c r="I35" s="129"/>
      <c r="J35" s="133"/>
      <c r="K35" s="129"/>
      <c r="L35" s="133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</row>
    <row r="37" ht="15.75" customHeight="1">
      <c r="A37" s="70"/>
      <c r="B37" s="70"/>
      <c r="C37" s="70"/>
      <c r="D37" s="70"/>
      <c r="E37" s="70"/>
      <c r="F37" s="70"/>
      <c r="G37" s="70"/>
      <c r="H37" s="60"/>
      <c r="I37" s="60"/>
      <c r="J37" s="60"/>
      <c r="K37" s="134"/>
      <c r="L37" s="135"/>
    </row>
    <row r="38" ht="15.75" customHeight="1">
      <c r="A38" s="70"/>
      <c r="B38" s="70"/>
      <c r="C38" s="70"/>
      <c r="D38" s="70"/>
      <c r="E38" s="70"/>
      <c r="F38" s="70"/>
      <c r="G38" s="70"/>
      <c r="H38" s="60"/>
      <c r="I38" s="60"/>
      <c r="J38" s="60"/>
      <c r="K38" s="134"/>
      <c r="L38" s="135"/>
    </row>
    <row r="39" ht="15.75" customHeight="1">
      <c r="A39" s="70"/>
      <c r="B39" s="70"/>
      <c r="C39" s="70"/>
      <c r="D39" s="70"/>
      <c r="E39" s="70"/>
      <c r="F39" s="70"/>
      <c r="G39" s="70"/>
      <c r="H39" s="60"/>
      <c r="I39" s="60"/>
      <c r="J39" s="60"/>
      <c r="K39" s="134"/>
      <c r="L39" s="136"/>
    </row>
    <row r="40" ht="15.75" customHeight="1">
      <c r="A40" s="70"/>
      <c r="B40" s="70"/>
      <c r="C40" s="70"/>
      <c r="D40" s="70"/>
      <c r="E40" s="70"/>
      <c r="F40" s="70"/>
      <c r="G40" s="70"/>
      <c r="H40" s="60"/>
      <c r="I40" s="60"/>
      <c r="J40" s="60"/>
      <c r="K40" s="155" t="s">
        <v>539</v>
      </c>
      <c r="L40" s="137">
        <f>SUM(K23:L30)</f>
        <v>612</v>
      </c>
    </row>
    <row r="41" ht="15.75" customHeight="1">
      <c r="A41" s="70"/>
      <c r="B41" s="70"/>
      <c r="C41" s="70"/>
      <c r="D41" s="70"/>
      <c r="E41" s="70"/>
      <c r="F41" s="70"/>
      <c r="G41" s="70"/>
      <c r="H41" s="60"/>
      <c r="I41" s="60"/>
      <c r="J41" s="60"/>
      <c r="K41" s="60"/>
      <c r="L41" s="60"/>
    </row>
    <row r="42" ht="15.75" customHeight="1">
      <c r="A42" s="139" t="s">
        <v>542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1"/>
    </row>
    <row r="43" ht="15.75" customHeight="1">
      <c r="A43" s="142"/>
      <c r="L43" s="143"/>
    </row>
    <row r="44" ht="15.75" customHeight="1">
      <c r="A44" s="142"/>
      <c r="L44" s="143"/>
    </row>
    <row r="45" ht="15.75" customHeight="1">
      <c r="A45" s="142"/>
      <c r="L45" s="143"/>
    </row>
    <row r="46" ht="64.5" customHeight="1">
      <c r="A46" s="142"/>
      <c r="L46" s="143"/>
    </row>
    <row r="47" ht="15.75" hidden="1" customHeight="1">
      <c r="A47" s="144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6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</row>
    <row r="54" ht="15.75" customHeight="1">
      <c r="A54" s="147" t="s">
        <v>543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48"/>
    </row>
    <row r="55" ht="15.75" customHeight="1">
      <c r="A55" s="142"/>
      <c r="L55" s="143"/>
    </row>
    <row r="56" ht="57.0" customHeight="1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6"/>
    </row>
    <row r="57" ht="37.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2">
    <mergeCell ref="K27:L27"/>
    <mergeCell ref="K28:L28"/>
    <mergeCell ref="I23:J23"/>
    <mergeCell ref="I24:J24"/>
    <mergeCell ref="I25:J25"/>
    <mergeCell ref="K25:L25"/>
    <mergeCell ref="I26:J26"/>
    <mergeCell ref="K26:L26"/>
    <mergeCell ref="I27:J27"/>
    <mergeCell ref="B21:G22"/>
    <mergeCell ref="H21:H22"/>
    <mergeCell ref="I21:J22"/>
    <mergeCell ref="K21:L22"/>
    <mergeCell ref="B23:G23"/>
    <mergeCell ref="K23:L23"/>
    <mergeCell ref="K24:L24"/>
    <mergeCell ref="B24:G24"/>
    <mergeCell ref="B25:G25"/>
    <mergeCell ref="B26:G26"/>
    <mergeCell ref="B27:G27"/>
    <mergeCell ref="B28:G28"/>
    <mergeCell ref="I30:J30"/>
    <mergeCell ref="K30:L30"/>
    <mergeCell ref="E5:I5"/>
    <mergeCell ref="A7:B7"/>
    <mergeCell ref="C7:D7"/>
    <mergeCell ref="G7:H7"/>
    <mergeCell ref="I7:K7"/>
    <mergeCell ref="C8:D8"/>
    <mergeCell ref="G8:H8"/>
    <mergeCell ref="A8:B8"/>
    <mergeCell ref="A9:B9"/>
    <mergeCell ref="C9:D9"/>
    <mergeCell ref="G9:H9"/>
    <mergeCell ref="A10:B10"/>
    <mergeCell ref="C10:D10"/>
    <mergeCell ref="G10:H10"/>
    <mergeCell ref="G12:H12"/>
    <mergeCell ref="G13:H13"/>
    <mergeCell ref="G14:H14"/>
    <mergeCell ref="A11:B11"/>
    <mergeCell ref="C11:D11"/>
    <mergeCell ref="G11:H11"/>
    <mergeCell ref="I11:K11"/>
    <mergeCell ref="A12:B12"/>
    <mergeCell ref="C13:D13"/>
    <mergeCell ref="I13:K13"/>
    <mergeCell ref="A13:B13"/>
    <mergeCell ref="A14:B14"/>
    <mergeCell ref="C14:D14"/>
    <mergeCell ref="A15:C15"/>
    <mergeCell ref="A16:B16"/>
    <mergeCell ref="A17:B17"/>
    <mergeCell ref="A21:A22"/>
    <mergeCell ref="B30:D30"/>
    <mergeCell ref="B31:D31"/>
    <mergeCell ref="B32:D32"/>
    <mergeCell ref="B33:D33"/>
    <mergeCell ref="B34:D34"/>
    <mergeCell ref="B35:D35"/>
    <mergeCell ref="I34:J34"/>
    <mergeCell ref="I35:J35"/>
    <mergeCell ref="A42:L47"/>
    <mergeCell ref="A54:L56"/>
    <mergeCell ref="I31:J31"/>
    <mergeCell ref="K31:L31"/>
    <mergeCell ref="I32:J32"/>
    <mergeCell ref="K32:L32"/>
    <mergeCell ref="I33:J33"/>
    <mergeCell ref="K33:L33"/>
    <mergeCell ref="K34:L34"/>
    <mergeCell ref="K35:L3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36.43"/>
    <col customWidth="1" min="3" max="7" width="9.29"/>
    <col customWidth="1" min="8" max="8" width="5.14"/>
    <col customWidth="1" min="9" max="9" width="12.29"/>
    <col customWidth="1" min="10" max="10" width="10.29"/>
    <col customWidth="1" min="11" max="11" width="16.71"/>
    <col customWidth="1" min="12" max="12" width="13.57"/>
    <col customWidth="1" min="13" max="13" width="13.29"/>
    <col customWidth="1" min="14" max="14" width="26.43"/>
    <col customWidth="1" min="15" max="15" width="40.0"/>
    <col customWidth="1" min="16" max="18" width="28.43"/>
    <col customWidth="1" min="19" max="19" width="10.71"/>
    <col customWidth="1" min="20" max="20" width="10.86"/>
    <col customWidth="1" min="21" max="21" width="10.71"/>
  </cols>
  <sheetData>
    <row r="1" ht="23.25" customHeight="1">
      <c r="A1" s="18">
        <v>4.0</v>
      </c>
      <c r="B1" s="19" t="s">
        <v>434</v>
      </c>
      <c r="C1" s="19" t="s">
        <v>435</v>
      </c>
      <c r="D1" s="19" t="s">
        <v>436</v>
      </c>
      <c r="E1" s="19" t="s">
        <v>437</v>
      </c>
      <c r="F1" s="19" t="s">
        <v>438</v>
      </c>
      <c r="G1" s="19" t="s">
        <v>439</v>
      </c>
      <c r="H1" s="19"/>
      <c r="I1" s="19" t="s">
        <v>440</v>
      </c>
      <c r="J1" s="19" t="s">
        <v>441</v>
      </c>
      <c r="K1" s="19" t="s">
        <v>442</v>
      </c>
      <c r="L1" s="19" t="s">
        <v>443</v>
      </c>
      <c r="M1" s="19" t="s">
        <v>444</v>
      </c>
      <c r="N1" s="19" t="s">
        <v>445</v>
      </c>
      <c r="O1" s="19" t="s">
        <v>446</v>
      </c>
      <c r="P1" s="19" t="s">
        <v>447</v>
      </c>
      <c r="Q1" s="20"/>
      <c r="R1" s="20" t="s">
        <v>448</v>
      </c>
      <c r="S1" s="21" t="s">
        <v>449</v>
      </c>
      <c r="T1" s="22">
        <f>S2/1.2</f>
        <v>14.16666667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ht="14.25" customHeight="1">
      <c r="A2" s="27">
        <v>1.0</v>
      </c>
      <c r="B2" s="24" t="s">
        <v>546</v>
      </c>
      <c r="C2" s="25">
        <v>6.0</v>
      </c>
      <c r="D2" s="26"/>
      <c r="E2" s="26"/>
      <c r="F2" s="23"/>
      <c r="G2" s="23"/>
      <c r="H2" s="27"/>
      <c r="I2" s="27">
        <f t="shared" ref="I2:I12" si="1">IF(L2="Cadeau",0,C2*$S$2+D2*$S$3+E2*$S$4+F2*$S$5)</f>
        <v>102</v>
      </c>
      <c r="J2" s="28">
        <f t="shared" ref="J2:J12" si="2">I2/1.2</f>
        <v>85</v>
      </c>
      <c r="K2" s="29">
        <v>45326.0</v>
      </c>
      <c r="L2" s="23" t="s">
        <v>547</v>
      </c>
      <c r="M2" s="23" t="s">
        <v>460</v>
      </c>
      <c r="N2" s="27"/>
      <c r="O2" s="23"/>
      <c r="P2" s="30"/>
      <c r="Q2" s="31"/>
      <c r="R2" s="31" t="s">
        <v>451</v>
      </c>
      <c r="S2" s="9">
        <v>17.0</v>
      </c>
    </row>
    <row r="3" ht="14.25" customHeight="1">
      <c r="A3" s="40">
        <v>2.0</v>
      </c>
      <c r="B3" s="24" t="s">
        <v>497</v>
      </c>
      <c r="C3" s="25">
        <v>12.0</v>
      </c>
      <c r="D3" s="25"/>
      <c r="E3" s="24">
        <v>12.0</v>
      </c>
      <c r="F3" s="32"/>
      <c r="G3" s="32"/>
      <c r="H3" s="32"/>
      <c r="I3" s="27">
        <f t="shared" si="1"/>
        <v>426</v>
      </c>
      <c r="J3" s="28">
        <f t="shared" si="2"/>
        <v>355</v>
      </c>
      <c r="K3" s="33">
        <v>45347.0</v>
      </c>
      <c r="L3" s="24" t="s">
        <v>460</v>
      </c>
      <c r="M3" s="24" t="s">
        <v>453</v>
      </c>
      <c r="N3" s="32"/>
      <c r="O3" s="24" t="s">
        <v>548</v>
      </c>
      <c r="P3" s="34"/>
      <c r="Q3" s="31"/>
      <c r="R3" s="31" t="s">
        <v>455</v>
      </c>
      <c r="S3" s="9">
        <v>19.0</v>
      </c>
    </row>
    <row r="4" ht="14.25" customHeight="1">
      <c r="A4" s="27">
        <v>3.0</v>
      </c>
      <c r="B4" s="23" t="s">
        <v>452</v>
      </c>
      <c r="C4" s="26">
        <v>5.0</v>
      </c>
      <c r="D4" s="37"/>
      <c r="E4" s="23">
        <v>3.0</v>
      </c>
      <c r="F4" s="23">
        <v>4.0</v>
      </c>
      <c r="G4" s="27"/>
      <c r="H4" s="27"/>
      <c r="I4" s="27">
        <f t="shared" si="1"/>
        <v>0</v>
      </c>
      <c r="J4" s="28">
        <f t="shared" si="2"/>
        <v>0</v>
      </c>
      <c r="K4" s="35">
        <v>45349.0</v>
      </c>
      <c r="L4" s="23" t="s">
        <v>202</v>
      </c>
      <c r="M4" s="23"/>
      <c r="N4" s="23"/>
      <c r="O4" s="23" t="s">
        <v>549</v>
      </c>
      <c r="P4" s="36"/>
      <c r="Q4" s="31"/>
      <c r="R4" s="31" t="s">
        <v>456</v>
      </c>
      <c r="S4" s="31">
        <v>18.5</v>
      </c>
    </row>
    <row r="5" ht="14.25" customHeight="1">
      <c r="A5" s="40">
        <v>4.0</v>
      </c>
      <c r="B5" s="24" t="s">
        <v>459</v>
      </c>
      <c r="C5" s="25">
        <v>24.0</v>
      </c>
      <c r="D5" s="40"/>
      <c r="E5" s="32"/>
      <c r="F5" s="32"/>
      <c r="G5" s="32"/>
      <c r="H5" s="32"/>
      <c r="I5" s="27">
        <f t="shared" si="1"/>
        <v>408</v>
      </c>
      <c r="J5" s="28">
        <f t="shared" si="2"/>
        <v>340</v>
      </c>
      <c r="K5" s="33">
        <v>45371.0</v>
      </c>
      <c r="L5" s="24" t="s">
        <v>460</v>
      </c>
      <c r="M5" s="24" t="s">
        <v>453</v>
      </c>
      <c r="N5" s="24" t="s">
        <v>550</v>
      </c>
      <c r="O5" s="24"/>
      <c r="P5" s="34"/>
      <c r="Q5" s="31"/>
      <c r="R5" s="31" t="s">
        <v>458</v>
      </c>
      <c r="S5" s="9">
        <v>27.0</v>
      </c>
    </row>
    <row r="6" ht="14.25" customHeight="1">
      <c r="A6" s="27">
        <v>5.0</v>
      </c>
      <c r="B6" s="23" t="s">
        <v>529</v>
      </c>
      <c r="C6" s="37"/>
      <c r="D6" s="37"/>
      <c r="E6" s="23">
        <v>48.0</v>
      </c>
      <c r="F6" s="27"/>
      <c r="G6" s="27"/>
      <c r="H6" s="27"/>
      <c r="I6" s="27">
        <f t="shared" si="1"/>
        <v>888</v>
      </c>
      <c r="J6" s="28">
        <f t="shared" si="2"/>
        <v>740</v>
      </c>
      <c r="K6" s="35">
        <v>45413.0</v>
      </c>
      <c r="L6" s="23" t="s">
        <v>460</v>
      </c>
      <c r="M6" s="23"/>
      <c r="N6" s="23" t="s">
        <v>551</v>
      </c>
      <c r="O6" s="27"/>
      <c r="P6" s="23">
        <v>120.0</v>
      </c>
      <c r="R6" s="9" t="s">
        <v>462</v>
      </c>
      <c r="S6" s="9">
        <v>38.0</v>
      </c>
    </row>
    <row r="7" ht="14.25" customHeight="1">
      <c r="A7" s="25">
        <v>6.0</v>
      </c>
      <c r="B7" s="24" t="s">
        <v>481</v>
      </c>
      <c r="C7" s="25">
        <v>120.0</v>
      </c>
      <c r="D7" s="25"/>
      <c r="E7" s="32"/>
      <c r="F7" s="32"/>
      <c r="G7" s="32"/>
      <c r="H7" s="32"/>
      <c r="I7" s="27">
        <f t="shared" si="1"/>
        <v>2040</v>
      </c>
      <c r="J7" s="28">
        <f t="shared" si="2"/>
        <v>1700</v>
      </c>
      <c r="K7" s="33">
        <v>45425.0</v>
      </c>
      <c r="L7" s="24" t="s">
        <v>460</v>
      </c>
      <c r="M7" s="24" t="s">
        <v>453</v>
      </c>
      <c r="N7" s="24" t="s">
        <v>552</v>
      </c>
      <c r="O7" s="24"/>
      <c r="P7" s="38"/>
      <c r="Q7" s="31"/>
      <c r="R7" s="31" t="s">
        <v>464</v>
      </c>
      <c r="S7" s="9">
        <f>SUM(C2:D1201)</f>
        <v>635</v>
      </c>
    </row>
    <row r="8" ht="14.25" customHeight="1">
      <c r="A8" s="27">
        <v>7.0</v>
      </c>
      <c r="B8" s="23"/>
      <c r="C8" s="26"/>
      <c r="D8" s="26"/>
      <c r="E8" s="23"/>
      <c r="F8" s="23"/>
      <c r="G8" s="27"/>
      <c r="H8" s="27"/>
      <c r="I8" s="27">
        <f t="shared" si="1"/>
        <v>0</v>
      </c>
      <c r="J8" s="28">
        <f t="shared" si="2"/>
        <v>0</v>
      </c>
      <c r="K8" s="35"/>
      <c r="L8" s="23"/>
      <c r="M8" s="27"/>
      <c r="N8" s="23" t="s">
        <v>549</v>
      </c>
      <c r="O8" s="27"/>
      <c r="P8" s="36"/>
      <c r="Q8" s="31"/>
      <c r="R8" s="31"/>
    </row>
    <row r="9" ht="14.25" customHeight="1">
      <c r="A9" s="40">
        <v>8.0</v>
      </c>
      <c r="B9" s="24" t="s">
        <v>488</v>
      </c>
      <c r="C9" s="25">
        <v>6.0</v>
      </c>
      <c r="D9" s="40"/>
      <c r="E9" s="32"/>
      <c r="F9" s="32"/>
      <c r="G9" s="32"/>
      <c r="H9" s="32"/>
      <c r="I9" s="27">
        <f t="shared" si="1"/>
        <v>102</v>
      </c>
      <c r="J9" s="28">
        <f t="shared" si="2"/>
        <v>85</v>
      </c>
      <c r="K9" s="33">
        <v>45435.0</v>
      </c>
      <c r="L9" s="24" t="s">
        <v>460</v>
      </c>
      <c r="M9" s="24" t="s">
        <v>453</v>
      </c>
      <c r="N9" s="24" t="s">
        <v>516</v>
      </c>
      <c r="O9" s="32"/>
      <c r="P9" s="38"/>
      <c r="Q9" s="31"/>
      <c r="R9" s="31" t="s">
        <v>468</v>
      </c>
      <c r="S9" s="39">
        <f>SUM(I2:I1216)</f>
        <v>17291</v>
      </c>
    </row>
    <row r="10" ht="14.25" customHeight="1">
      <c r="A10" s="27">
        <v>9.0</v>
      </c>
      <c r="B10" s="23" t="s">
        <v>553</v>
      </c>
      <c r="C10" s="26">
        <v>96.0</v>
      </c>
      <c r="D10" s="37"/>
      <c r="E10" s="23"/>
      <c r="F10" s="27"/>
      <c r="G10" s="27"/>
      <c r="H10" s="27"/>
      <c r="I10" s="27">
        <f t="shared" si="1"/>
        <v>1632</v>
      </c>
      <c r="J10" s="28">
        <f t="shared" si="2"/>
        <v>1360</v>
      </c>
      <c r="K10" s="35">
        <v>45458.0</v>
      </c>
      <c r="L10" s="23" t="s">
        <v>460</v>
      </c>
      <c r="M10" s="23" t="s">
        <v>453</v>
      </c>
      <c r="N10" s="23" t="s">
        <v>554</v>
      </c>
      <c r="O10" s="23" t="s">
        <v>555</v>
      </c>
      <c r="P10" s="36"/>
      <c r="Q10" s="31"/>
      <c r="R10" s="31"/>
    </row>
    <row r="11" ht="14.25" customHeight="1">
      <c r="A11" s="40">
        <v>10.0</v>
      </c>
      <c r="B11" s="24" t="s">
        <v>479</v>
      </c>
      <c r="C11" s="25"/>
      <c r="D11" s="40"/>
      <c r="E11" s="24">
        <v>18.0</v>
      </c>
      <c r="F11" s="32"/>
      <c r="G11" s="32"/>
      <c r="H11" s="32"/>
      <c r="I11" s="27">
        <f t="shared" si="1"/>
        <v>333</v>
      </c>
      <c r="J11" s="28">
        <f t="shared" si="2"/>
        <v>277.5</v>
      </c>
      <c r="K11" s="33">
        <v>45437.0</v>
      </c>
      <c r="L11" s="24" t="s">
        <v>460</v>
      </c>
      <c r="M11" s="24" t="s">
        <v>453</v>
      </c>
      <c r="N11" s="24" t="s">
        <v>493</v>
      </c>
      <c r="O11" s="24"/>
      <c r="P11" s="32"/>
    </row>
    <row r="12" ht="14.25" customHeight="1">
      <c r="A12" s="27">
        <v>11.0</v>
      </c>
      <c r="B12" s="23" t="s">
        <v>452</v>
      </c>
      <c r="C12" s="26">
        <v>7.0</v>
      </c>
      <c r="D12" s="26"/>
      <c r="E12" s="23">
        <v>3.0</v>
      </c>
      <c r="F12" s="23"/>
      <c r="G12" s="27"/>
      <c r="H12" s="27"/>
      <c r="I12" s="27">
        <f t="shared" si="1"/>
        <v>0</v>
      </c>
      <c r="J12" s="28">
        <f t="shared" si="2"/>
        <v>0</v>
      </c>
      <c r="K12" s="35">
        <v>45428.0</v>
      </c>
      <c r="L12" s="23" t="s">
        <v>202</v>
      </c>
      <c r="M12" s="23" t="s">
        <v>453</v>
      </c>
      <c r="N12" s="23" t="s">
        <v>556</v>
      </c>
      <c r="O12" s="23"/>
      <c r="P12" s="27"/>
    </row>
    <row r="13" ht="14.25" customHeight="1">
      <c r="A13" s="40">
        <v>12.0</v>
      </c>
      <c r="B13" s="24" t="s">
        <v>452</v>
      </c>
      <c r="C13" s="24"/>
      <c r="D13" s="32"/>
      <c r="E13" s="24"/>
      <c r="F13" s="32"/>
      <c r="G13" s="32"/>
      <c r="H13" s="32"/>
      <c r="I13" s="27"/>
      <c r="J13" s="28"/>
      <c r="K13" s="33"/>
      <c r="L13" s="24" t="s">
        <v>202</v>
      </c>
      <c r="M13" s="24" t="s">
        <v>453</v>
      </c>
      <c r="N13" s="24" t="s">
        <v>110</v>
      </c>
      <c r="O13" s="32"/>
      <c r="P13" s="32"/>
    </row>
    <row r="14" ht="14.25" customHeight="1">
      <c r="A14" s="27">
        <v>13.0</v>
      </c>
      <c r="B14" s="41" t="s">
        <v>557</v>
      </c>
      <c r="C14" s="23"/>
      <c r="D14" s="27"/>
      <c r="E14" s="23">
        <v>18.0</v>
      </c>
      <c r="F14" s="23"/>
      <c r="G14" s="27"/>
      <c r="H14" s="27"/>
      <c r="I14" s="27">
        <f t="shared" ref="I14:I94" si="3">IF(L14="Cadeau",0,C14*$S$2+D14*$S$3+E14*$S$4+F14*$S$5)</f>
        <v>333</v>
      </c>
      <c r="J14" s="28">
        <f t="shared" ref="J14:J94" si="4">I14/1.2</f>
        <v>277.5</v>
      </c>
      <c r="K14" s="35">
        <v>45475.0</v>
      </c>
      <c r="L14" s="23" t="s">
        <v>460</v>
      </c>
      <c r="M14" s="23" t="s">
        <v>453</v>
      </c>
      <c r="N14" s="23" t="s">
        <v>493</v>
      </c>
      <c r="O14" s="23"/>
      <c r="P14" s="27"/>
    </row>
    <row r="15" ht="14.25" customHeight="1">
      <c r="A15" s="40">
        <v>14.0</v>
      </c>
      <c r="B15" s="24" t="s">
        <v>558</v>
      </c>
      <c r="C15" s="24">
        <v>18.0</v>
      </c>
      <c r="D15" s="32"/>
      <c r="E15" s="32"/>
      <c r="F15" s="32"/>
      <c r="G15" s="32"/>
      <c r="H15" s="32"/>
      <c r="I15" s="27">
        <f t="shared" si="3"/>
        <v>306</v>
      </c>
      <c r="J15" s="28">
        <f t="shared" si="4"/>
        <v>255</v>
      </c>
      <c r="K15" s="33">
        <v>45460.0</v>
      </c>
      <c r="L15" s="24" t="s">
        <v>460</v>
      </c>
      <c r="M15" s="24" t="s">
        <v>453</v>
      </c>
      <c r="N15" s="24" t="s">
        <v>466</v>
      </c>
      <c r="O15" s="24" t="s">
        <v>559</v>
      </c>
      <c r="P15" s="32"/>
    </row>
    <row r="16" ht="14.25" customHeight="1">
      <c r="A16" s="27">
        <v>15.0</v>
      </c>
      <c r="B16" s="43" t="s">
        <v>450</v>
      </c>
      <c r="C16" s="23"/>
      <c r="D16" s="23"/>
      <c r="E16" s="23">
        <v>6.0</v>
      </c>
      <c r="F16" s="23"/>
      <c r="G16" s="27"/>
      <c r="H16" s="27"/>
      <c r="I16" s="27">
        <f t="shared" si="3"/>
        <v>0</v>
      </c>
      <c r="J16" s="28">
        <f t="shared" si="4"/>
        <v>0</v>
      </c>
      <c r="K16" s="35">
        <v>45427.0</v>
      </c>
      <c r="L16" s="23" t="s">
        <v>202</v>
      </c>
      <c r="M16" s="23" t="s">
        <v>453</v>
      </c>
      <c r="N16" s="23"/>
      <c r="O16" s="23"/>
      <c r="P16" s="27"/>
    </row>
    <row r="17" ht="14.25" customHeight="1">
      <c r="A17" s="40">
        <v>16.0</v>
      </c>
      <c r="B17" s="24" t="s">
        <v>560</v>
      </c>
      <c r="C17" s="24"/>
      <c r="D17" s="24"/>
      <c r="E17" s="24">
        <v>36.0</v>
      </c>
      <c r="F17" s="32"/>
      <c r="G17" s="32"/>
      <c r="H17" s="32"/>
      <c r="I17" s="27">
        <f t="shared" si="3"/>
        <v>666</v>
      </c>
      <c r="J17" s="28">
        <f t="shared" si="4"/>
        <v>555</v>
      </c>
      <c r="K17" s="33">
        <v>45475.0</v>
      </c>
      <c r="L17" s="24" t="s">
        <v>460</v>
      </c>
      <c r="M17" s="24" t="s">
        <v>453</v>
      </c>
      <c r="N17" s="24" t="s">
        <v>493</v>
      </c>
      <c r="O17" s="24"/>
      <c r="P17" s="32"/>
    </row>
    <row r="18" ht="14.25" customHeight="1">
      <c r="A18" s="27">
        <v>17.0</v>
      </c>
      <c r="B18" s="23" t="s">
        <v>561</v>
      </c>
      <c r="C18" s="23"/>
      <c r="D18" s="27"/>
      <c r="E18" s="23">
        <v>60.0</v>
      </c>
      <c r="F18" s="27"/>
      <c r="G18" s="27"/>
      <c r="H18" s="27"/>
      <c r="I18" s="27">
        <f t="shared" si="3"/>
        <v>1110</v>
      </c>
      <c r="J18" s="28">
        <f t="shared" si="4"/>
        <v>925</v>
      </c>
      <c r="K18" s="35">
        <v>45490.0</v>
      </c>
      <c r="L18" s="23" t="s">
        <v>460</v>
      </c>
      <c r="M18" s="23" t="s">
        <v>453</v>
      </c>
      <c r="N18" s="23" t="s">
        <v>493</v>
      </c>
      <c r="O18" s="23" t="s">
        <v>480</v>
      </c>
      <c r="P18" s="27"/>
    </row>
    <row r="19" ht="14.25" customHeight="1">
      <c r="A19" s="40">
        <v>18.0</v>
      </c>
      <c r="B19" s="44" t="s">
        <v>562</v>
      </c>
      <c r="C19" s="13">
        <v>48.0</v>
      </c>
      <c r="D19" s="9"/>
      <c r="E19" s="13"/>
      <c r="F19" s="13">
        <v>6.0</v>
      </c>
      <c r="G19" s="9"/>
      <c r="H19" s="9"/>
      <c r="I19" s="27">
        <f t="shared" si="3"/>
        <v>978</v>
      </c>
      <c r="J19" s="28">
        <f t="shared" si="4"/>
        <v>815</v>
      </c>
      <c r="K19" s="45">
        <v>45503.0</v>
      </c>
      <c r="L19" s="13" t="s">
        <v>460</v>
      </c>
      <c r="M19" s="13" t="s">
        <v>453</v>
      </c>
      <c r="N19" s="13" t="s">
        <v>489</v>
      </c>
      <c r="O19" s="13" t="s">
        <v>563</v>
      </c>
    </row>
    <row r="20" ht="14.25" customHeight="1">
      <c r="A20" s="27">
        <v>19.0</v>
      </c>
      <c r="B20" s="13" t="s">
        <v>476</v>
      </c>
      <c r="C20" s="13">
        <v>30.0</v>
      </c>
      <c r="D20" s="9"/>
      <c r="E20" s="13">
        <v>12.0</v>
      </c>
      <c r="F20" s="13"/>
      <c r="G20" s="9"/>
      <c r="H20" s="9"/>
      <c r="I20" s="27">
        <f t="shared" si="3"/>
        <v>732</v>
      </c>
      <c r="J20" s="28">
        <f t="shared" si="4"/>
        <v>610</v>
      </c>
      <c r="K20" s="46">
        <v>45495.0</v>
      </c>
      <c r="L20" s="13" t="s">
        <v>460</v>
      </c>
      <c r="M20" s="13" t="s">
        <v>453</v>
      </c>
      <c r="N20" s="13" t="s">
        <v>493</v>
      </c>
      <c r="O20" s="11" t="s">
        <v>564</v>
      </c>
    </row>
    <row r="21" ht="14.25" customHeight="1">
      <c r="A21" s="40">
        <v>20.0</v>
      </c>
      <c r="B21" s="13" t="s">
        <v>565</v>
      </c>
      <c r="C21" s="13">
        <v>6.0</v>
      </c>
      <c r="D21" s="9"/>
      <c r="E21" s="9"/>
      <c r="F21" s="9"/>
      <c r="G21" s="9"/>
      <c r="H21" s="9"/>
      <c r="I21" s="27">
        <f t="shared" si="3"/>
        <v>102</v>
      </c>
      <c r="J21" s="28">
        <f t="shared" si="4"/>
        <v>85</v>
      </c>
      <c r="K21" s="46">
        <v>45495.0</v>
      </c>
      <c r="L21" s="13" t="s">
        <v>460</v>
      </c>
      <c r="M21" s="13" t="s">
        <v>453</v>
      </c>
      <c r="N21" s="13" t="s">
        <v>493</v>
      </c>
      <c r="O21" s="13" t="s">
        <v>383</v>
      </c>
      <c r="P21" s="13"/>
    </row>
    <row r="22" ht="14.25" customHeight="1">
      <c r="A22" s="27">
        <v>21.0</v>
      </c>
      <c r="B22" s="13" t="s">
        <v>500</v>
      </c>
      <c r="C22" s="13">
        <v>6.0</v>
      </c>
      <c r="D22" s="13"/>
      <c r="E22" s="13">
        <v>12.0</v>
      </c>
      <c r="F22" s="9"/>
      <c r="G22" s="9"/>
      <c r="H22" s="9"/>
      <c r="I22" s="27">
        <f t="shared" si="3"/>
        <v>324</v>
      </c>
      <c r="J22" s="28">
        <f t="shared" si="4"/>
        <v>270</v>
      </c>
      <c r="K22" s="46">
        <v>45503.0</v>
      </c>
      <c r="L22" s="13" t="s">
        <v>460</v>
      </c>
      <c r="M22" s="13" t="s">
        <v>453</v>
      </c>
      <c r="N22" s="13" t="s">
        <v>489</v>
      </c>
      <c r="O22" s="13" t="s">
        <v>563</v>
      </c>
      <c r="P22" s="9"/>
    </row>
    <row r="23" ht="14.25" customHeight="1">
      <c r="A23" s="40">
        <v>22.0</v>
      </c>
      <c r="B23" s="13"/>
      <c r="C23" s="13"/>
      <c r="E23" s="13"/>
      <c r="F23" s="9"/>
      <c r="G23" s="9"/>
      <c r="H23" s="9"/>
      <c r="I23" s="27">
        <f t="shared" si="3"/>
        <v>0</v>
      </c>
      <c r="J23" s="28">
        <f t="shared" si="4"/>
        <v>0</v>
      </c>
      <c r="K23" s="46">
        <v>45503.0</v>
      </c>
      <c r="L23" s="13" t="s">
        <v>460</v>
      </c>
      <c r="M23" s="13" t="s">
        <v>453</v>
      </c>
      <c r="N23" s="13" t="s">
        <v>489</v>
      </c>
      <c r="O23" s="13" t="s">
        <v>563</v>
      </c>
      <c r="P23" s="9"/>
    </row>
    <row r="24">
      <c r="A24" s="27">
        <v>23.0</v>
      </c>
      <c r="B24" s="13" t="s">
        <v>452</v>
      </c>
      <c r="C24" s="13"/>
      <c r="D24" s="11">
        <v>6.0</v>
      </c>
      <c r="E24" s="13">
        <v>8.0</v>
      </c>
      <c r="F24" s="13">
        <v>6.0</v>
      </c>
      <c r="G24" s="9"/>
      <c r="H24" s="9"/>
      <c r="I24" s="27">
        <f t="shared" si="3"/>
        <v>0</v>
      </c>
      <c r="J24" s="28">
        <f t="shared" si="4"/>
        <v>0</v>
      </c>
      <c r="K24" s="46">
        <v>45503.0</v>
      </c>
      <c r="L24" s="13" t="s">
        <v>202</v>
      </c>
      <c r="M24" s="13"/>
      <c r="N24" s="13" t="s">
        <v>457</v>
      </c>
      <c r="O24" s="13" t="s">
        <v>563</v>
      </c>
      <c r="P24" s="9"/>
    </row>
    <row r="25" ht="14.25" customHeight="1">
      <c r="A25" s="40">
        <v>24.0</v>
      </c>
      <c r="B25" s="47" t="s">
        <v>490</v>
      </c>
      <c r="C25" s="9"/>
      <c r="D25" s="9"/>
      <c r="E25" s="13"/>
      <c r="F25" s="9"/>
      <c r="G25" s="9"/>
      <c r="H25" s="9"/>
      <c r="I25" s="27">
        <f t="shared" si="3"/>
        <v>0</v>
      </c>
      <c r="J25" s="28">
        <f t="shared" si="4"/>
        <v>0</v>
      </c>
      <c r="K25" s="49"/>
      <c r="L25" s="13"/>
      <c r="M25" s="13"/>
      <c r="N25" s="13"/>
      <c r="O25" s="13"/>
      <c r="P25" s="13"/>
    </row>
    <row r="26" ht="14.25" customHeight="1">
      <c r="A26" s="27">
        <v>25.0</v>
      </c>
      <c r="B26" s="47" t="s">
        <v>566</v>
      </c>
      <c r="C26" s="13">
        <v>5.0</v>
      </c>
      <c r="E26" s="13"/>
      <c r="F26" s="9"/>
      <c r="G26" s="9"/>
      <c r="H26" s="9"/>
      <c r="I26" s="27">
        <f t="shared" si="3"/>
        <v>85</v>
      </c>
      <c r="J26" s="28">
        <f t="shared" si="4"/>
        <v>70.83333333</v>
      </c>
      <c r="K26" s="45">
        <v>45557.0</v>
      </c>
      <c r="L26" s="13" t="s">
        <v>460</v>
      </c>
      <c r="M26" s="13" t="s">
        <v>453</v>
      </c>
      <c r="N26" s="13" t="s">
        <v>567</v>
      </c>
      <c r="O26" s="13"/>
      <c r="P26" s="9"/>
    </row>
    <row r="27" ht="14.25" customHeight="1">
      <c r="A27" s="40">
        <v>26.0</v>
      </c>
      <c r="B27" s="13" t="s">
        <v>568</v>
      </c>
      <c r="C27" s="13">
        <v>4.0</v>
      </c>
      <c r="E27" s="13"/>
      <c r="F27" s="9"/>
      <c r="G27" s="9"/>
      <c r="H27" s="9"/>
      <c r="I27" s="27">
        <f t="shared" si="3"/>
        <v>0</v>
      </c>
      <c r="J27" s="28">
        <f t="shared" si="4"/>
        <v>0</v>
      </c>
      <c r="K27" s="49">
        <v>45557.0</v>
      </c>
      <c r="L27" s="13" t="s">
        <v>202</v>
      </c>
      <c r="M27" s="13" t="s">
        <v>453</v>
      </c>
      <c r="N27" s="13" t="s">
        <v>499</v>
      </c>
      <c r="O27" s="13"/>
      <c r="P27" s="9"/>
    </row>
    <row r="28" ht="14.25" customHeight="1">
      <c r="A28" s="27">
        <v>27.0</v>
      </c>
      <c r="B28" s="50" t="s">
        <v>569</v>
      </c>
      <c r="C28" s="11">
        <v>2.0</v>
      </c>
      <c r="D28" s="13">
        <v>1.0</v>
      </c>
      <c r="E28" s="13"/>
      <c r="F28" s="9"/>
      <c r="G28" s="9"/>
      <c r="H28" s="9"/>
      <c r="I28" s="27">
        <f t="shared" si="3"/>
        <v>53</v>
      </c>
      <c r="J28" s="28">
        <f t="shared" si="4"/>
        <v>44.16666667</v>
      </c>
      <c r="K28" s="42">
        <v>45557.0</v>
      </c>
      <c r="L28" s="13" t="s">
        <v>460</v>
      </c>
      <c r="M28" s="13" t="s">
        <v>453</v>
      </c>
      <c r="N28" s="13" t="s">
        <v>493</v>
      </c>
      <c r="P28" s="9"/>
    </row>
    <row r="29" ht="14.25" customHeight="1">
      <c r="A29" s="40">
        <v>28.0</v>
      </c>
      <c r="B29" s="51" t="s">
        <v>459</v>
      </c>
      <c r="C29" s="13">
        <v>12.0</v>
      </c>
      <c r="E29" s="13"/>
      <c r="F29" s="13"/>
      <c r="G29" s="9"/>
      <c r="H29" s="9"/>
      <c r="I29" s="27">
        <f t="shared" si="3"/>
        <v>204</v>
      </c>
      <c r="J29" s="28">
        <f t="shared" si="4"/>
        <v>170</v>
      </c>
      <c r="K29" s="46">
        <v>45582.0</v>
      </c>
      <c r="L29" s="13" t="s">
        <v>460</v>
      </c>
      <c r="M29" s="13" t="s">
        <v>453</v>
      </c>
      <c r="N29" s="11" t="s">
        <v>493</v>
      </c>
      <c r="O29" s="52" t="s">
        <v>466</v>
      </c>
      <c r="P29" s="9"/>
    </row>
    <row r="30" ht="14.25" customHeight="1">
      <c r="A30" s="27">
        <v>29.0</v>
      </c>
      <c r="B30" s="13" t="s">
        <v>566</v>
      </c>
      <c r="C30" s="13">
        <v>6.0</v>
      </c>
      <c r="E30" s="13"/>
      <c r="F30" s="9"/>
      <c r="G30" s="9"/>
      <c r="H30" s="9"/>
      <c r="I30" s="27">
        <f t="shared" si="3"/>
        <v>102</v>
      </c>
      <c r="J30" s="28">
        <f t="shared" si="4"/>
        <v>85</v>
      </c>
      <c r="K30" s="46">
        <v>45584.0</v>
      </c>
      <c r="L30" s="13" t="s">
        <v>460</v>
      </c>
      <c r="M30" s="13" t="s">
        <v>453</v>
      </c>
      <c r="N30" s="13" t="s">
        <v>570</v>
      </c>
      <c r="O30" s="52" t="s">
        <v>571</v>
      </c>
      <c r="P30" s="13"/>
    </row>
    <row r="31" ht="14.25" customHeight="1">
      <c r="A31" s="40">
        <v>30.0</v>
      </c>
      <c r="B31" s="11" t="s">
        <v>452</v>
      </c>
      <c r="C31" s="11">
        <v>1.0</v>
      </c>
      <c r="E31" s="13"/>
      <c r="F31" s="9"/>
      <c r="G31" s="9"/>
      <c r="H31" s="9"/>
      <c r="I31" s="27">
        <f t="shared" si="3"/>
        <v>0</v>
      </c>
      <c r="J31" s="28">
        <f t="shared" si="4"/>
        <v>0</v>
      </c>
      <c r="K31" s="46">
        <v>45578.0</v>
      </c>
      <c r="L31" s="13" t="s">
        <v>202</v>
      </c>
      <c r="M31" s="9"/>
      <c r="N31" s="11" t="s">
        <v>110</v>
      </c>
      <c r="O31" s="52"/>
      <c r="P31" s="13"/>
    </row>
    <row r="32" ht="14.25" customHeight="1">
      <c r="A32" s="27">
        <v>31.0</v>
      </c>
      <c r="B32" s="13" t="s">
        <v>572</v>
      </c>
      <c r="C32" s="13"/>
      <c r="D32" s="13"/>
      <c r="E32" s="13">
        <v>12.0</v>
      </c>
      <c r="F32" s="9"/>
      <c r="G32" s="9"/>
      <c r="H32" s="9"/>
      <c r="I32" s="27">
        <f t="shared" si="3"/>
        <v>222</v>
      </c>
      <c r="J32" s="28">
        <f t="shared" si="4"/>
        <v>185</v>
      </c>
      <c r="K32" s="46">
        <v>45592.0</v>
      </c>
      <c r="L32" s="13" t="s">
        <v>573</v>
      </c>
      <c r="M32" s="13" t="s">
        <v>453</v>
      </c>
      <c r="N32" s="13"/>
      <c r="O32" s="13"/>
      <c r="P32" s="13"/>
    </row>
    <row r="33" ht="14.25" customHeight="1">
      <c r="A33" s="40">
        <v>32.0</v>
      </c>
      <c r="B33" s="13" t="s">
        <v>572</v>
      </c>
      <c r="D33" s="11">
        <v>6.0</v>
      </c>
      <c r="E33" s="13">
        <v>6.0</v>
      </c>
      <c r="F33" s="9"/>
      <c r="G33" s="9"/>
      <c r="H33" s="9"/>
      <c r="I33" s="27">
        <f t="shared" si="3"/>
        <v>225</v>
      </c>
      <c r="J33" s="28">
        <f t="shared" si="4"/>
        <v>187.5</v>
      </c>
      <c r="K33" s="46">
        <v>45592.0</v>
      </c>
      <c r="L33" s="13" t="s">
        <v>460</v>
      </c>
      <c r="M33" s="13" t="s">
        <v>453</v>
      </c>
      <c r="N33" s="13" t="s">
        <v>493</v>
      </c>
      <c r="P33" s="9"/>
    </row>
    <row r="34" ht="14.25" customHeight="1">
      <c r="A34" s="27">
        <v>33.0</v>
      </c>
      <c r="B34" s="13" t="s">
        <v>574</v>
      </c>
      <c r="C34" s="13"/>
      <c r="D34" s="13"/>
      <c r="E34" s="13">
        <v>6.0</v>
      </c>
      <c r="F34" s="13"/>
      <c r="G34" s="9"/>
      <c r="H34" s="9"/>
      <c r="I34" s="27">
        <f t="shared" si="3"/>
        <v>111</v>
      </c>
      <c r="J34" s="28">
        <f t="shared" si="4"/>
        <v>92.5</v>
      </c>
      <c r="K34" s="46">
        <v>45592.0</v>
      </c>
      <c r="L34" s="13" t="s">
        <v>460</v>
      </c>
      <c r="M34" s="13" t="s">
        <v>453</v>
      </c>
      <c r="N34" s="13" t="s">
        <v>493</v>
      </c>
      <c r="P34" s="9"/>
    </row>
    <row r="35" ht="14.25" customHeight="1">
      <c r="A35" s="40">
        <v>34.0</v>
      </c>
      <c r="B35" s="13" t="s">
        <v>450</v>
      </c>
      <c r="C35" s="13">
        <v>6.0</v>
      </c>
      <c r="E35" s="13">
        <v>6.0</v>
      </c>
      <c r="F35" s="9"/>
      <c r="G35" s="9"/>
      <c r="H35" s="9"/>
      <c r="I35" s="27">
        <f t="shared" si="3"/>
        <v>0</v>
      </c>
      <c r="J35" s="28">
        <f t="shared" si="4"/>
        <v>0</v>
      </c>
      <c r="K35" s="53">
        <v>45592.0</v>
      </c>
      <c r="L35" s="13" t="s">
        <v>202</v>
      </c>
      <c r="M35" s="9"/>
      <c r="N35" s="13"/>
      <c r="O35" s="13" t="s">
        <v>575</v>
      </c>
      <c r="P35" s="9"/>
    </row>
    <row r="36" ht="14.25" customHeight="1">
      <c r="A36" s="27">
        <v>35.0</v>
      </c>
      <c r="B36" s="51" t="s">
        <v>576</v>
      </c>
      <c r="C36" s="11">
        <v>10.0</v>
      </c>
      <c r="E36" s="13"/>
      <c r="F36" s="9"/>
      <c r="G36" s="9"/>
      <c r="H36" s="9"/>
      <c r="I36" s="27">
        <f t="shared" si="3"/>
        <v>170</v>
      </c>
      <c r="J36" s="28">
        <f t="shared" si="4"/>
        <v>141.6666667</v>
      </c>
      <c r="K36" s="46">
        <v>45601.0</v>
      </c>
      <c r="L36" s="13" t="s">
        <v>460</v>
      </c>
      <c r="M36" s="13"/>
      <c r="N36" s="13" t="s">
        <v>577</v>
      </c>
      <c r="O36" s="11" t="s">
        <v>578</v>
      </c>
      <c r="P36" s="9"/>
    </row>
    <row r="37" ht="14.25" customHeight="1">
      <c r="A37" s="40">
        <v>36.0</v>
      </c>
      <c r="B37" s="13" t="s">
        <v>486</v>
      </c>
      <c r="C37" s="13"/>
      <c r="D37" s="11">
        <v>1.0</v>
      </c>
      <c r="E37" s="9"/>
      <c r="F37" s="13">
        <v>2.0</v>
      </c>
      <c r="G37" s="9"/>
      <c r="H37" s="9"/>
      <c r="I37" s="27">
        <f t="shared" si="3"/>
        <v>0</v>
      </c>
      <c r="J37" s="28">
        <f t="shared" si="4"/>
        <v>0</v>
      </c>
      <c r="K37" s="46">
        <v>45601.0</v>
      </c>
      <c r="L37" s="13" t="s">
        <v>202</v>
      </c>
      <c r="M37" s="13"/>
      <c r="N37" s="13" t="s">
        <v>579</v>
      </c>
      <c r="O37" s="11" t="s">
        <v>234</v>
      </c>
      <c r="P37" s="9"/>
    </row>
    <row r="38" ht="14.25" customHeight="1">
      <c r="A38" s="27">
        <v>37.0</v>
      </c>
      <c r="B38" s="13" t="s">
        <v>491</v>
      </c>
      <c r="C38" s="13">
        <v>24.0</v>
      </c>
      <c r="E38" s="13"/>
      <c r="F38" s="9"/>
      <c r="G38" s="9"/>
      <c r="H38" s="9"/>
      <c r="I38" s="27">
        <f t="shared" si="3"/>
        <v>408</v>
      </c>
      <c r="J38" s="28">
        <f t="shared" si="4"/>
        <v>340</v>
      </c>
      <c r="K38" s="46">
        <v>45613.0</v>
      </c>
      <c r="L38" s="13" t="s">
        <v>460</v>
      </c>
      <c r="M38" s="13" t="s">
        <v>453</v>
      </c>
      <c r="N38" s="11" t="s">
        <v>493</v>
      </c>
      <c r="O38" s="13" t="s">
        <v>580</v>
      </c>
      <c r="P38" s="9"/>
    </row>
    <row r="39" ht="14.25" customHeight="1">
      <c r="A39" s="40">
        <v>38.0</v>
      </c>
      <c r="B39" s="13" t="s">
        <v>452</v>
      </c>
      <c r="C39" s="13">
        <v>1.0</v>
      </c>
      <c r="D39" s="11">
        <v>1.0</v>
      </c>
      <c r="E39" s="13">
        <v>1.0</v>
      </c>
      <c r="F39" s="13">
        <v>1.0</v>
      </c>
      <c r="G39" s="9"/>
      <c r="H39" s="9"/>
      <c r="I39" s="27">
        <f t="shared" si="3"/>
        <v>0</v>
      </c>
      <c r="J39" s="28">
        <f t="shared" si="4"/>
        <v>0</v>
      </c>
      <c r="K39" s="46">
        <v>45613.0</v>
      </c>
      <c r="L39" s="13" t="s">
        <v>202</v>
      </c>
      <c r="M39" s="13" t="s">
        <v>453</v>
      </c>
      <c r="N39" s="11" t="s">
        <v>581</v>
      </c>
      <c r="O39" s="9"/>
    </row>
    <row r="40" ht="14.25" customHeight="1">
      <c r="A40" s="27">
        <v>39.0</v>
      </c>
      <c r="B40" s="13" t="s">
        <v>490</v>
      </c>
      <c r="C40" s="11">
        <v>1.0</v>
      </c>
      <c r="D40" s="13"/>
      <c r="E40" s="13"/>
      <c r="F40" s="9"/>
      <c r="G40" s="9"/>
      <c r="H40" s="9"/>
      <c r="I40" s="27">
        <f t="shared" si="3"/>
        <v>0</v>
      </c>
      <c r="J40" s="28">
        <f t="shared" si="4"/>
        <v>0</v>
      </c>
      <c r="K40" s="46">
        <v>45597.0</v>
      </c>
      <c r="L40" s="13" t="s">
        <v>202</v>
      </c>
      <c r="M40" s="13" t="s">
        <v>453</v>
      </c>
      <c r="N40" s="13"/>
      <c r="O40" s="9"/>
    </row>
    <row r="41" ht="14.25" customHeight="1">
      <c r="A41" s="40">
        <v>40.0</v>
      </c>
      <c r="B41" s="13" t="s">
        <v>476</v>
      </c>
      <c r="C41" s="13">
        <v>12.0</v>
      </c>
      <c r="D41" s="13">
        <v>6.0</v>
      </c>
      <c r="E41" s="13">
        <v>6.0</v>
      </c>
      <c r="F41" s="9"/>
      <c r="G41" s="9"/>
      <c r="H41" s="9"/>
      <c r="I41" s="27">
        <f t="shared" si="3"/>
        <v>429</v>
      </c>
      <c r="J41" s="28">
        <f t="shared" si="4"/>
        <v>357.5</v>
      </c>
      <c r="K41" s="53">
        <v>45638.0</v>
      </c>
      <c r="L41" s="13" t="s">
        <v>477</v>
      </c>
      <c r="M41" s="13" t="s">
        <v>453</v>
      </c>
      <c r="N41" s="13" t="s">
        <v>582</v>
      </c>
      <c r="O41" s="13" t="s">
        <v>583</v>
      </c>
      <c r="P41" s="9"/>
    </row>
    <row r="42" ht="14.25" customHeight="1">
      <c r="A42" s="27">
        <v>41.0</v>
      </c>
      <c r="B42" s="13" t="s">
        <v>494</v>
      </c>
      <c r="C42" s="11">
        <v>12.0</v>
      </c>
      <c r="D42" s="11">
        <v>12.0</v>
      </c>
      <c r="E42" s="13"/>
      <c r="F42" s="9"/>
      <c r="G42" s="9"/>
      <c r="H42" s="9"/>
      <c r="I42" s="28">
        <f t="shared" si="3"/>
        <v>432</v>
      </c>
      <c r="J42" s="28">
        <f t="shared" si="4"/>
        <v>360</v>
      </c>
      <c r="K42" s="46">
        <v>45638.0</v>
      </c>
      <c r="L42" s="13" t="s">
        <v>460</v>
      </c>
      <c r="M42" s="13" t="s">
        <v>453</v>
      </c>
      <c r="N42" s="13" t="s">
        <v>493</v>
      </c>
      <c r="O42" s="13"/>
    </row>
    <row r="43" ht="14.25" customHeight="1">
      <c r="A43" s="40">
        <v>42.0</v>
      </c>
      <c r="B43" s="13" t="s">
        <v>584</v>
      </c>
      <c r="C43" s="13"/>
      <c r="D43" s="13">
        <v>6.0</v>
      </c>
      <c r="E43" s="9"/>
      <c r="F43" s="9"/>
      <c r="G43" s="9"/>
      <c r="H43" s="9"/>
      <c r="I43" s="27">
        <f t="shared" si="3"/>
        <v>114</v>
      </c>
      <c r="J43" s="28">
        <f t="shared" si="4"/>
        <v>95</v>
      </c>
      <c r="K43" s="46">
        <v>45638.0</v>
      </c>
      <c r="L43" s="13" t="s">
        <v>460</v>
      </c>
      <c r="M43" s="13" t="s">
        <v>453</v>
      </c>
      <c r="N43" s="11" t="s">
        <v>516</v>
      </c>
      <c r="O43" s="13"/>
      <c r="P43" s="9"/>
    </row>
    <row r="44" ht="14.25" customHeight="1">
      <c r="A44" s="27">
        <v>43.0</v>
      </c>
      <c r="B44" s="13" t="s">
        <v>474</v>
      </c>
      <c r="C44" s="13">
        <v>18.0</v>
      </c>
      <c r="D44" s="11">
        <v>12.0</v>
      </c>
      <c r="E44" s="52">
        <v>36.0</v>
      </c>
      <c r="F44" s="13"/>
      <c r="G44" s="9"/>
      <c r="H44" s="9"/>
      <c r="I44" s="27">
        <f t="shared" si="3"/>
        <v>1200</v>
      </c>
      <c r="J44" s="28">
        <f t="shared" si="4"/>
        <v>1000</v>
      </c>
      <c r="K44" s="46">
        <v>45638.0</v>
      </c>
      <c r="L44" s="13" t="s">
        <v>460</v>
      </c>
      <c r="M44" s="13" t="s">
        <v>453</v>
      </c>
      <c r="N44" s="13" t="s">
        <v>516</v>
      </c>
      <c r="O44" s="13" t="s">
        <v>585</v>
      </c>
    </row>
    <row r="45" ht="14.25" customHeight="1">
      <c r="A45" s="40">
        <v>44.0</v>
      </c>
      <c r="B45" s="13" t="s">
        <v>586</v>
      </c>
      <c r="C45" s="9"/>
      <c r="D45" s="9"/>
      <c r="E45" s="13">
        <v>6.0</v>
      </c>
      <c r="F45" s="13"/>
      <c r="G45" s="9"/>
      <c r="H45" s="9"/>
      <c r="I45" s="27">
        <f t="shared" si="3"/>
        <v>111</v>
      </c>
      <c r="J45" s="28">
        <f t="shared" si="4"/>
        <v>92.5</v>
      </c>
      <c r="K45" s="46">
        <v>45638.0</v>
      </c>
      <c r="L45" s="13" t="s">
        <v>460</v>
      </c>
      <c r="M45" s="13" t="s">
        <v>453</v>
      </c>
      <c r="N45" s="13" t="s">
        <v>493</v>
      </c>
      <c r="O45" s="13"/>
    </row>
    <row r="46" ht="14.25" customHeight="1">
      <c r="A46" s="27">
        <v>45.0</v>
      </c>
      <c r="B46" s="11" t="s">
        <v>587</v>
      </c>
      <c r="E46" s="11">
        <v>6.0</v>
      </c>
      <c r="H46" s="9"/>
      <c r="I46" s="27">
        <f t="shared" si="3"/>
        <v>111</v>
      </c>
      <c r="J46" s="28">
        <f t="shared" si="4"/>
        <v>92.5</v>
      </c>
      <c r="K46" s="46">
        <v>45638.0</v>
      </c>
      <c r="L46" s="13" t="s">
        <v>460</v>
      </c>
      <c r="M46" s="13" t="s">
        <v>453</v>
      </c>
      <c r="N46" s="11" t="s">
        <v>516</v>
      </c>
    </row>
    <row r="47" ht="14.25" customHeight="1">
      <c r="A47" s="40">
        <v>46.0</v>
      </c>
      <c r="B47" s="13" t="s">
        <v>452</v>
      </c>
      <c r="C47" s="13"/>
      <c r="D47" s="13">
        <v>1.0</v>
      </c>
      <c r="E47" s="13">
        <v>6.0</v>
      </c>
      <c r="F47" s="13">
        <v>2.0</v>
      </c>
      <c r="G47" s="9"/>
      <c r="H47" s="9"/>
      <c r="I47" s="27">
        <f t="shared" si="3"/>
        <v>0</v>
      </c>
      <c r="J47" s="28">
        <f t="shared" si="4"/>
        <v>0</v>
      </c>
      <c r="K47" s="46">
        <v>45638.0</v>
      </c>
      <c r="L47" s="13" t="s">
        <v>202</v>
      </c>
      <c r="M47" s="13" t="s">
        <v>453</v>
      </c>
      <c r="N47" s="13" t="s">
        <v>588</v>
      </c>
      <c r="O47" s="13"/>
    </row>
    <row r="48" ht="14.25" customHeight="1">
      <c r="A48" s="27">
        <v>47.0</v>
      </c>
      <c r="B48" s="13" t="s">
        <v>589</v>
      </c>
      <c r="C48" s="9"/>
      <c r="D48" s="13"/>
      <c r="E48" s="13">
        <v>12.0</v>
      </c>
      <c r="F48" s="9"/>
      <c r="G48" s="9"/>
      <c r="H48" s="9"/>
      <c r="I48" s="27">
        <f t="shared" si="3"/>
        <v>222</v>
      </c>
      <c r="J48" s="28">
        <f t="shared" si="4"/>
        <v>185</v>
      </c>
      <c r="K48" s="46">
        <v>45641.0</v>
      </c>
      <c r="L48" s="13" t="s">
        <v>460</v>
      </c>
      <c r="M48" s="13" t="s">
        <v>453</v>
      </c>
      <c r="N48" s="13" t="s">
        <v>590</v>
      </c>
      <c r="O48" s="13" t="s">
        <v>591</v>
      </c>
    </row>
    <row r="49" ht="14.25" customHeight="1">
      <c r="A49" s="40">
        <v>48.0</v>
      </c>
      <c r="B49" s="11" t="s">
        <v>592</v>
      </c>
      <c r="C49" s="13"/>
      <c r="D49" s="9"/>
      <c r="E49" s="13">
        <v>18.0</v>
      </c>
      <c r="F49" s="9"/>
      <c r="G49" s="13"/>
      <c r="H49" s="9"/>
      <c r="I49" s="27">
        <f t="shared" si="3"/>
        <v>333</v>
      </c>
      <c r="J49" s="28">
        <f t="shared" si="4"/>
        <v>277.5</v>
      </c>
      <c r="K49" s="46">
        <v>45641.0</v>
      </c>
      <c r="L49" s="13" t="s">
        <v>477</v>
      </c>
      <c r="M49" s="13" t="s">
        <v>453</v>
      </c>
      <c r="N49" s="13" t="s">
        <v>590</v>
      </c>
      <c r="O49" s="13">
        <v>38.99</v>
      </c>
      <c r="P49" s="13"/>
    </row>
    <row r="50" ht="14.25" customHeight="1">
      <c r="A50" s="27">
        <v>49.0</v>
      </c>
      <c r="B50" s="13" t="s">
        <v>512</v>
      </c>
      <c r="C50" s="11">
        <v>60.0</v>
      </c>
      <c r="E50" s="13">
        <v>6.0</v>
      </c>
      <c r="F50" s="9"/>
      <c r="G50" s="9"/>
      <c r="H50" s="9"/>
      <c r="I50" s="27">
        <f t="shared" si="3"/>
        <v>1131</v>
      </c>
      <c r="J50" s="28">
        <f t="shared" si="4"/>
        <v>942.5</v>
      </c>
      <c r="K50" s="46">
        <v>45642.0</v>
      </c>
      <c r="L50" s="13" t="s">
        <v>477</v>
      </c>
      <c r="M50" s="13" t="s">
        <v>453</v>
      </c>
    </row>
    <row r="51" ht="14.25" customHeight="1">
      <c r="A51" s="40">
        <v>50.0</v>
      </c>
      <c r="B51" s="13" t="s">
        <v>497</v>
      </c>
      <c r="C51" s="13"/>
      <c r="E51" s="13">
        <v>6.0</v>
      </c>
      <c r="F51" s="9"/>
      <c r="G51" s="9"/>
      <c r="H51" s="9"/>
      <c r="I51" s="27">
        <f t="shared" si="3"/>
        <v>111</v>
      </c>
      <c r="J51" s="28">
        <f t="shared" si="4"/>
        <v>92.5</v>
      </c>
      <c r="K51" s="46">
        <v>45642.0</v>
      </c>
      <c r="L51" s="13" t="s">
        <v>460</v>
      </c>
      <c r="M51" s="13" t="s">
        <v>453</v>
      </c>
      <c r="N51" s="13" t="s">
        <v>493</v>
      </c>
      <c r="O51" s="13"/>
    </row>
    <row r="52" ht="14.25" customHeight="1">
      <c r="A52" s="27">
        <v>51.0</v>
      </c>
      <c r="B52" s="13" t="s">
        <v>479</v>
      </c>
      <c r="E52" s="13">
        <v>12.0</v>
      </c>
      <c r="F52" s="9"/>
      <c r="G52" s="9"/>
      <c r="H52" s="9"/>
      <c r="I52" s="27">
        <f t="shared" si="3"/>
        <v>222</v>
      </c>
      <c r="J52" s="28">
        <f t="shared" si="4"/>
        <v>185</v>
      </c>
      <c r="K52" s="46">
        <v>45642.0</v>
      </c>
      <c r="L52" s="13" t="s">
        <v>460</v>
      </c>
      <c r="M52" s="13" t="s">
        <v>453</v>
      </c>
      <c r="N52" s="11" t="s">
        <v>493</v>
      </c>
    </row>
    <row r="53" ht="14.25" customHeight="1">
      <c r="A53" s="40">
        <v>52.0</v>
      </c>
      <c r="B53" s="54" t="s">
        <v>593</v>
      </c>
      <c r="C53" s="54">
        <v>6.0</v>
      </c>
      <c r="D53" s="54">
        <v>6.0</v>
      </c>
      <c r="E53" s="54">
        <v>6.0</v>
      </c>
      <c r="F53" s="55"/>
      <c r="G53" s="55"/>
      <c r="H53" s="55"/>
      <c r="I53" s="27">
        <f t="shared" si="3"/>
        <v>327</v>
      </c>
      <c r="J53" s="28">
        <f t="shared" si="4"/>
        <v>272.5</v>
      </c>
      <c r="K53" s="56">
        <v>45643.0</v>
      </c>
      <c r="L53" s="13" t="s">
        <v>460</v>
      </c>
      <c r="M53" s="13" t="s">
        <v>453</v>
      </c>
      <c r="N53" s="11" t="s">
        <v>594</v>
      </c>
      <c r="O53" s="13" t="s">
        <v>595</v>
      </c>
      <c r="P53" s="55"/>
    </row>
    <row r="54" ht="14.25" customHeight="1">
      <c r="A54" s="27">
        <v>53.0</v>
      </c>
      <c r="B54" s="13" t="s">
        <v>596</v>
      </c>
      <c r="C54" s="11">
        <v>6.0</v>
      </c>
      <c r="E54" s="13">
        <v>12.0</v>
      </c>
      <c r="F54" s="13">
        <v>6.0</v>
      </c>
      <c r="G54" s="9"/>
      <c r="H54" s="9"/>
      <c r="I54" s="27">
        <f t="shared" si="3"/>
        <v>486</v>
      </c>
      <c r="J54" s="28">
        <f t="shared" si="4"/>
        <v>405</v>
      </c>
      <c r="K54" s="46">
        <v>45643.0</v>
      </c>
      <c r="L54" s="13" t="s">
        <v>460</v>
      </c>
      <c r="M54" s="13" t="s">
        <v>453</v>
      </c>
      <c r="N54" s="11" t="s">
        <v>594</v>
      </c>
    </row>
    <row r="55" ht="14.25" customHeight="1">
      <c r="A55" s="40">
        <v>54.0</v>
      </c>
      <c r="B55" s="13" t="s">
        <v>452</v>
      </c>
      <c r="C55" s="13">
        <v>2.0</v>
      </c>
      <c r="D55" s="11">
        <v>4.0</v>
      </c>
      <c r="E55" s="13">
        <v>3.0</v>
      </c>
      <c r="F55" s="13">
        <v>3.0</v>
      </c>
      <c r="G55" s="9"/>
      <c r="H55" s="9"/>
      <c r="I55" s="27">
        <f t="shared" si="3"/>
        <v>0</v>
      </c>
      <c r="J55" s="28">
        <f t="shared" si="4"/>
        <v>0</v>
      </c>
      <c r="K55" s="53">
        <v>45645.0</v>
      </c>
      <c r="L55" s="13" t="s">
        <v>202</v>
      </c>
      <c r="M55" s="13" t="s">
        <v>453</v>
      </c>
      <c r="N55" s="11" t="s">
        <v>563</v>
      </c>
      <c r="O55" s="13"/>
    </row>
    <row r="56" ht="14.25" customHeight="1">
      <c r="A56" s="27">
        <v>55.0</v>
      </c>
      <c r="B56" s="13" t="s">
        <v>490</v>
      </c>
      <c r="C56" s="11">
        <v>1.0</v>
      </c>
      <c r="E56" s="52"/>
      <c r="F56" s="9"/>
      <c r="G56" s="13"/>
      <c r="I56" s="27">
        <f t="shared" si="3"/>
        <v>0</v>
      </c>
      <c r="J56" s="28">
        <f t="shared" si="4"/>
        <v>0</v>
      </c>
      <c r="K56" s="46">
        <v>45655.0</v>
      </c>
      <c r="L56" s="13" t="s">
        <v>202</v>
      </c>
      <c r="M56" s="13" t="s">
        <v>453</v>
      </c>
      <c r="N56" s="11" t="s">
        <v>111</v>
      </c>
    </row>
    <row r="57" ht="14.25" customHeight="1">
      <c r="A57" s="40">
        <v>56.0</v>
      </c>
      <c r="B57" s="13"/>
      <c r="E57" s="13"/>
      <c r="F57" s="13"/>
      <c r="G57" s="9"/>
      <c r="H57" s="13"/>
      <c r="I57" s="27">
        <f t="shared" si="3"/>
        <v>0</v>
      </c>
      <c r="J57" s="28">
        <f t="shared" si="4"/>
        <v>0</v>
      </c>
      <c r="K57" s="46"/>
      <c r="L57" s="13"/>
      <c r="M57" s="13"/>
    </row>
    <row r="58" ht="14.25" customHeight="1">
      <c r="A58" s="27">
        <v>57.0</v>
      </c>
      <c r="B58" s="13"/>
      <c r="E58" s="9"/>
      <c r="F58" s="13"/>
      <c r="G58" s="9"/>
      <c r="H58" s="13"/>
      <c r="I58" s="27">
        <f t="shared" si="3"/>
        <v>0</v>
      </c>
      <c r="J58" s="28">
        <f t="shared" si="4"/>
        <v>0</v>
      </c>
      <c r="K58" s="13"/>
      <c r="L58" s="13"/>
      <c r="M58" s="13"/>
    </row>
    <row r="59" ht="14.25" customHeight="1">
      <c r="A59" s="40">
        <v>58.0</v>
      </c>
      <c r="B59" s="13"/>
      <c r="E59" s="13"/>
      <c r="F59" s="9"/>
      <c r="G59" s="9"/>
      <c r="H59" s="13" t="s">
        <v>597</v>
      </c>
      <c r="I59" s="27">
        <f t="shared" si="3"/>
        <v>0</v>
      </c>
      <c r="J59" s="28">
        <f t="shared" si="4"/>
        <v>0</v>
      </c>
      <c r="K59" s="46"/>
      <c r="L59" s="13"/>
      <c r="M59" s="13"/>
    </row>
    <row r="60" ht="14.25" customHeight="1">
      <c r="A60" s="27">
        <v>59.0</v>
      </c>
      <c r="B60" s="13"/>
      <c r="E60" s="9"/>
      <c r="F60" s="9"/>
      <c r="G60" s="9"/>
      <c r="H60" s="9"/>
      <c r="I60" s="27">
        <f t="shared" si="3"/>
        <v>0</v>
      </c>
      <c r="J60" s="28">
        <f t="shared" si="4"/>
        <v>0</v>
      </c>
      <c r="K60" s="57"/>
      <c r="L60" s="13"/>
      <c r="M60" s="13"/>
    </row>
    <row r="61" ht="14.25" customHeight="1">
      <c r="A61" s="40">
        <v>60.0</v>
      </c>
      <c r="B61" s="13"/>
      <c r="E61" s="9"/>
      <c r="F61" s="9"/>
      <c r="G61" s="9"/>
      <c r="H61" s="9"/>
      <c r="I61" s="27">
        <f t="shared" si="3"/>
        <v>0</v>
      </c>
      <c r="J61" s="28">
        <f t="shared" si="4"/>
        <v>0</v>
      </c>
      <c r="K61" s="13"/>
      <c r="L61" s="13"/>
      <c r="M61" s="9"/>
    </row>
    <row r="62" ht="14.25" customHeight="1">
      <c r="A62" s="27">
        <v>61.0</v>
      </c>
      <c r="B62" s="13"/>
      <c r="E62" s="13"/>
      <c r="F62" s="9"/>
      <c r="G62" s="9"/>
      <c r="H62" s="9"/>
      <c r="I62" s="27">
        <f t="shared" si="3"/>
        <v>0</v>
      </c>
      <c r="J62" s="28">
        <f t="shared" si="4"/>
        <v>0</v>
      </c>
      <c r="K62" s="46"/>
      <c r="L62" s="13"/>
      <c r="M62" s="9"/>
    </row>
    <row r="63" ht="14.25" customHeight="1">
      <c r="A63" s="40">
        <v>62.0</v>
      </c>
      <c r="B63" s="9"/>
      <c r="E63" s="9"/>
      <c r="F63" s="9"/>
      <c r="G63" s="9"/>
      <c r="H63" s="9"/>
      <c r="I63" s="27">
        <f t="shared" si="3"/>
        <v>0</v>
      </c>
      <c r="J63" s="28">
        <f t="shared" si="4"/>
        <v>0</v>
      </c>
      <c r="K63" s="58"/>
      <c r="L63" s="9"/>
      <c r="M63" s="9"/>
    </row>
    <row r="64" ht="14.25" customHeight="1">
      <c r="A64" s="27">
        <v>63.0</v>
      </c>
      <c r="B64" s="9"/>
      <c r="E64" s="9"/>
      <c r="F64" s="9"/>
      <c r="G64" s="9"/>
      <c r="H64" s="9"/>
      <c r="I64" s="27">
        <f t="shared" si="3"/>
        <v>0</v>
      </c>
      <c r="J64" s="28">
        <f t="shared" si="4"/>
        <v>0</v>
      </c>
      <c r="K64" s="58"/>
      <c r="L64" s="9"/>
      <c r="M64" s="9"/>
    </row>
    <row r="65" ht="14.25" customHeight="1">
      <c r="A65" s="40">
        <v>64.0</v>
      </c>
      <c r="B65" s="9"/>
      <c r="E65" s="9"/>
      <c r="F65" s="9"/>
      <c r="G65" s="9"/>
      <c r="H65" s="9"/>
      <c r="I65" s="27">
        <f t="shared" si="3"/>
        <v>0</v>
      </c>
      <c r="J65" s="28">
        <f t="shared" si="4"/>
        <v>0</v>
      </c>
      <c r="K65" s="58"/>
      <c r="L65" s="9"/>
      <c r="M65" s="9"/>
    </row>
    <row r="66" ht="14.25" customHeight="1">
      <c r="A66" s="27">
        <v>65.0</v>
      </c>
      <c r="B66" s="9"/>
      <c r="E66" s="9"/>
      <c r="F66" s="9"/>
      <c r="G66" s="9"/>
      <c r="H66" s="9"/>
      <c r="I66" s="27">
        <f t="shared" si="3"/>
        <v>0</v>
      </c>
      <c r="J66" s="28">
        <f t="shared" si="4"/>
        <v>0</v>
      </c>
      <c r="K66" s="58"/>
      <c r="L66" s="9"/>
      <c r="M66" s="9"/>
    </row>
    <row r="67" ht="14.25" customHeight="1">
      <c r="A67" s="40">
        <v>66.0</v>
      </c>
      <c r="B67" s="9"/>
      <c r="E67" s="9"/>
      <c r="F67" s="9"/>
      <c r="G67" s="9"/>
      <c r="H67" s="9"/>
      <c r="I67" s="27">
        <f t="shared" si="3"/>
        <v>0</v>
      </c>
      <c r="J67" s="28">
        <f t="shared" si="4"/>
        <v>0</v>
      </c>
      <c r="K67" s="58"/>
      <c r="L67" s="9"/>
      <c r="M67" s="9"/>
    </row>
    <row r="68" ht="14.25" customHeight="1">
      <c r="A68" s="27">
        <v>67.0</v>
      </c>
      <c r="B68" s="9"/>
      <c r="E68" s="9"/>
      <c r="F68" s="9"/>
      <c r="G68" s="9"/>
      <c r="H68" s="9"/>
      <c r="I68" s="27">
        <f t="shared" si="3"/>
        <v>0</v>
      </c>
      <c r="J68" s="28">
        <f t="shared" si="4"/>
        <v>0</v>
      </c>
      <c r="K68" s="58"/>
      <c r="L68" s="9"/>
      <c r="M68" s="9"/>
    </row>
    <row r="69" ht="14.25" customHeight="1">
      <c r="A69" s="40">
        <v>68.0</v>
      </c>
      <c r="B69" s="9"/>
      <c r="E69" s="9"/>
      <c r="F69" s="9"/>
      <c r="G69" s="9"/>
      <c r="H69" s="9"/>
      <c r="I69" s="27">
        <f t="shared" si="3"/>
        <v>0</v>
      </c>
      <c r="J69" s="28">
        <f t="shared" si="4"/>
        <v>0</v>
      </c>
      <c r="K69" s="58"/>
      <c r="L69" s="9"/>
      <c r="M69" s="9"/>
    </row>
    <row r="70" ht="14.25" customHeight="1">
      <c r="A70" s="27">
        <v>69.0</v>
      </c>
      <c r="B70" s="9"/>
      <c r="E70" s="9"/>
      <c r="F70" s="9"/>
      <c r="G70" s="9"/>
      <c r="H70" s="9"/>
      <c r="I70" s="27">
        <f t="shared" si="3"/>
        <v>0</v>
      </c>
      <c r="J70" s="28">
        <f t="shared" si="4"/>
        <v>0</v>
      </c>
      <c r="K70" s="58"/>
      <c r="L70" s="9"/>
      <c r="M70" s="9"/>
    </row>
    <row r="71" ht="14.25" customHeight="1">
      <c r="A71" s="40">
        <v>70.0</v>
      </c>
      <c r="B71" s="9"/>
      <c r="E71" s="9"/>
      <c r="F71" s="9"/>
      <c r="G71" s="9"/>
      <c r="H71" s="9"/>
      <c r="I71" s="27">
        <f t="shared" si="3"/>
        <v>0</v>
      </c>
      <c r="J71" s="28">
        <f t="shared" si="4"/>
        <v>0</v>
      </c>
      <c r="K71" s="58"/>
      <c r="L71" s="9"/>
      <c r="M71" s="9"/>
    </row>
    <row r="72" ht="14.25" customHeight="1">
      <c r="A72" s="27">
        <v>71.0</v>
      </c>
      <c r="B72" s="9"/>
      <c r="E72" s="9"/>
      <c r="F72" s="9"/>
      <c r="G72" s="9"/>
      <c r="H72" s="9"/>
      <c r="I72" s="27">
        <f t="shared" si="3"/>
        <v>0</v>
      </c>
      <c r="J72" s="28">
        <f t="shared" si="4"/>
        <v>0</v>
      </c>
      <c r="K72" s="58"/>
      <c r="L72" s="9"/>
      <c r="M72" s="9"/>
    </row>
    <row r="73" ht="14.25" customHeight="1">
      <c r="A73" s="40">
        <v>72.0</v>
      </c>
      <c r="B73" s="9"/>
      <c r="E73" s="9"/>
      <c r="F73" s="9"/>
      <c r="G73" s="9"/>
      <c r="H73" s="9"/>
      <c r="I73" s="27">
        <f t="shared" si="3"/>
        <v>0</v>
      </c>
      <c r="J73" s="28">
        <f t="shared" si="4"/>
        <v>0</v>
      </c>
      <c r="K73" s="58"/>
      <c r="L73" s="9"/>
      <c r="M73" s="9"/>
    </row>
    <row r="74" ht="14.25" customHeight="1">
      <c r="A74" s="27">
        <v>73.0</v>
      </c>
      <c r="B74" s="9"/>
      <c r="E74" s="9"/>
      <c r="F74" s="9"/>
      <c r="G74" s="9"/>
      <c r="H74" s="9"/>
      <c r="I74" s="27">
        <f t="shared" si="3"/>
        <v>0</v>
      </c>
      <c r="J74" s="28">
        <f t="shared" si="4"/>
        <v>0</v>
      </c>
      <c r="K74" s="58"/>
      <c r="L74" s="9"/>
      <c r="M74" s="9"/>
    </row>
    <row r="75" ht="14.25" customHeight="1">
      <c r="A75" s="40">
        <v>74.0</v>
      </c>
      <c r="B75" s="9"/>
      <c r="E75" s="9"/>
      <c r="F75" s="9"/>
      <c r="G75" s="9"/>
      <c r="H75" s="9"/>
      <c r="I75" s="27">
        <f t="shared" si="3"/>
        <v>0</v>
      </c>
      <c r="J75" s="28">
        <f t="shared" si="4"/>
        <v>0</v>
      </c>
      <c r="K75" s="58"/>
      <c r="L75" s="9"/>
      <c r="M75" s="9"/>
    </row>
    <row r="76" ht="14.25" customHeight="1">
      <c r="A76" s="27">
        <v>75.0</v>
      </c>
      <c r="B76" s="9"/>
      <c r="E76" s="9"/>
      <c r="F76" s="9"/>
      <c r="G76" s="9"/>
      <c r="H76" s="9"/>
      <c r="I76" s="27">
        <f t="shared" si="3"/>
        <v>0</v>
      </c>
      <c r="J76" s="28">
        <f t="shared" si="4"/>
        <v>0</v>
      </c>
      <c r="K76" s="58"/>
      <c r="L76" s="9"/>
      <c r="M76" s="9"/>
    </row>
    <row r="77" ht="14.25" customHeight="1">
      <c r="A77" s="40">
        <v>76.0</v>
      </c>
      <c r="B77" s="9"/>
      <c r="E77" s="9"/>
      <c r="F77" s="9"/>
      <c r="G77" s="9"/>
      <c r="H77" s="9"/>
      <c r="I77" s="27">
        <f t="shared" si="3"/>
        <v>0</v>
      </c>
      <c r="J77" s="28">
        <f t="shared" si="4"/>
        <v>0</v>
      </c>
      <c r="L77" s="9"/>
      <c r="M77" s="9"/>
    </row>
    <row r="78" ht="14.25" customHeight="1">
      <c r="A78" s="9">
        <f t="shared" ref="A78:A98" si="5">IF(L78="CAdeau",0,MAX($A$2:A77)+1)</f>
        <v>77</v>
      </c>
      <c r="B78" s="9"/>
      <c r="E78" s="9"/>
      <c r="F78" s="9"/>
      <c r="G78" s="9"/>
      <c r="H78" s="9"/>
      <c r="I78" s="27">
        <f t="shared" si="3"/>
        <v>0</v>
      </c>
      <c r="J78" s="28">
        <f t="shared" si="4"/>
        <v>0</v>
      </c>
      <c r="L78" s="9"/>
      <c r="M78" s="9"/>
    </row>
    <row r="79" ht="14.25" customHeight="1">
      <c r="A79" s="9">
        <f t="shared" si="5"/>
        <v>78</v>
      </c>
      <c r="B79" s="9"/>
      <c r="E79" s="9"/>
      <c r="F79" s="9"/>
      <c r="G79" s="9"/>
      <c r="H79" s="9"/>
      <c r="I79" s="27">
        <f t="shared" si="3"/>
        <v>0</v>
      </c>
      <c r="J79" s="28">
        <f t="shared" si="4"/>
        <v>0</v>
      </c>
      <c r="K79" s="58"/>
      <c r="L79" s="9"/>
      <c r="M79" s="9"/>
    </row>
    <row r="80" ht="14.25" customHeight="1">
      <c r="A80" s="9">
        <f t="shared" si="5"/>
        <v>79</v>
      </c>
      <c r="B80" s="9"/>
      <c r="E80" s="9"/>
      <c r="F80" s="9"/>
      <c r="G80" s="9"/>
      <c r="H80" s="9"/>
      <c r="I80" s="27">
        <f t="shared" si="3"/>
        <v>0</v>
      </c>
      <c r="J80" s="28">
        <f t="shared" si="4"/>
        <v>0</v>
      </c>
      <c r="K80" s="58"/>
      <c r="L80" s="9"/>
      <c r="M80" s="9"/>
    </row>
    <row r="81" ht="14.25" customHeight="1">
      <c r="A81" s="9">
        <f t="shared" si="5"/>
        <v>80</v>
      </c>
      <c r="B81" s="9"/>
      <c r="E81" s="9"/>
      <c r="F81" s="9"/>
      <c r="G81" s="9"/>
      <c r="H81" s="9"/>
      <c r="I81" s="27">
        <f t="shared" si="3"/>
        <v>0</v>
      </c>
      <c r="J81" s="28">
        <f t="shared" si="4"/>
        <v>0</v>
      </c>
      <c r="K81" s="58"/>
      <c r="L81" s="9"/>
      <c r="M81" s="9"/>
    </row>
    <row r="82" ht="14.25" customHeight="1">
      <c r="A82" s="9">
        <f t="shared" si="5"/>
        <v>81</v>
      </c>
      <c r="B82" s="9"/>
      <c r="E82" s="9"/>
      <c r="F82" s="9"/>
      <c r="G82" s="9"/>
      <c r="H82" s="9"/>
      <c r="I82" s="27">
        <f t="shared" si="3"/>
        <v>0</v>
      </c>
      <c r="J82" s="28">
        <f t="shared" si="4"/>
        <v>0</v>
      </c>
      <c r="K82" s="58"/>
      <c r="L82" s="9"/>
      <c r="M82" s="9"/>
    </row>
    <row r="83" ht="14.25" customHeight="1">
      <c r="A83" s="9">
        <f t="shared" si="5"/>
        <v>82</v>
      </c>
      <c r="B83" s="9"/>
      <c r="E83" s="9"/>
      <c r="F83" s="9"/>
      <c r="G83" s="9"/>
      <c r="H83" s="9"/>
      <c r="I83" s="27">
        <f t="shared" si="3"/>
        <v>0</v>
      </c>
      <c r="J83" s="28">
        <f t="shared" si="4"/>
        <v>0</v>
      </c>
      <c r="K83" s="58"/>
      <c r="L83" s="9"/>
      <c r="M83" s="9"/>
    </row>
    <row r="84" ht="14.25" customHeight="1">
      <c r="A84" s="9">
        <f t="shared" si="5"/>
        <v>83</v>
      </c>
      <c r="B84" s="9"/>
      <c r="E84" s="9"/>
      <c r="F84" s="9"/>
      <c r="G84" s="9"/>
      <c r="H84" s="9"/>
      <c r="I84" s="27">
        <f t="shared" si="3"/>
        <v>0</v>
      </c>
      <c r="J84" s="28">
        <f t="shared" si="4"/>
        <v>0</v>
      </c>
      <c r="K84" s="58"/>
      <c r="L84" s="9"/>
      <c r="M84" s="9"/>
    </row>
    <row r="85" ht="14.25" customHeight="1">
      <c r="A85" s="9">
        <f t="shared" si="5"/>
        <v>84</v>
      </c>
      <c r="B85" s="9"/>
      <c r="E85" s="9"/>
      <c r="F85" s="9"/>
      <c r="G85" s="9"/>
      <c r="H85" s="9"/>
      <c r="I85" s="27">
        <f t="shared" si="3"/>
        <v>0</v>
      </c>
      <c r="J85" s="28">
        <f t="shared" si="4"/>
        <v>0</v>
      </c>
      <c r="K85" s="58"/>
      <c r="L85" s="9"/>
      <c r="M85" s="9"/>
    </row>
    <row r="86" ht="14.25" customHeight="1">
      <c r="A86" s="9">
        <f t="shared" si="5"/>
        <v>85</v>
      </c>
      <c r="B86" s="9"/>
      <c r="E86" s="9"/>
      <c r="F86" s="9"/>
      <c r="G86" s="9"/>
      <c r="H86" s="9"/>
      <c r="I86" s="27">
        <f t="shared" si="3"/>
        <v>0</v>
      </c>
      <c r="J86" s="28">
        <f t="shared" si="4"/>
        <v>0</v>
      </c>
      <c r="K86" s="58"/>
      <c r="L86" s="9"/>
      <c r="M86" s="9"/>
    </row>
    <row r="87" ht="14.25" customHeight="1">
      <c r="A87" s="9">
        <f t="shared" si="5"/>
        <v>86</v>
      </c>
      <c r="B87" s="9"/>
      <c r="E87" s="9"/>
      <c r="F87" s="9"/>
      <c r="G87" s="9"/>
      <c r="H87" s="9"/>
      <c r="I87" s="27">
        <f t="shared" si="3"/>
        <v>0</v>
      </c>
      <c r="J87" s="28">
        <f t="shared" si="4"/>
        <v>0</v>
      </c>
      <c r="L87" s="9"/>
      <c r="M87" s="9"/>
    </row>
    <row r="88" ht="14.25" customHeight="1">
      <c r="A88" s="9">
        <f t="shared" si="5"/>
        <v>87</v>
      </c>
      <c r="B88" s="9"/>
      <c r="E88" s="9"/>
      <c r="F88" s="9"/>
      <c r="G88" s="9"/>
      <c r="H88" s="9"/>
      <c r="I88" s="27">
        <f t="shared" si="3"/>
        <v>0</v>
      </c>
      <c r="J88" s="28">
        <f t="shared" si="4"/>
        <v>0</v>
      </c>
      <c r="K88" s="58"/>
      <c r="L88" s="9"/>
      <c r="M88" s="9"/>
    </row>
    <row r="89" ht="14.25" customHeight="1">
      <c r="A89" s="9">
        <f t="shared" si="5"/>
        <v>88</v>
      </c>
      <c r="B89" s="9"/>
      <c r="E89" s="9"/>
      <c r="F89" s="9"/>
      <c r="G89" s="9"/>
      <c r="H89" s="9"/>
      <c r="I89" s="27">
        <f t="shared" si="3"/>
        <v>0</v>
      </c>
      <c r="J89" s="28">
        <f t="shared" si="4"/>
        <v>0</v>
      </c>
      <c r="K89" s="58"/>
      <c r="L89" s="9"/>
      <c r="M89" s="9"/>
    </row>
    <row r="90" ht="14.25" customHeight="1">
      <c r="A90" s="9">
        <f t="shared" si="5"/>
        <v>89</v>
      </c>
      <c r="B90" s="9"/>
      <c r="E90" s="9"/>
      <c r="F90" s="9"/>
      <c r="G90" s="9"/>
      <c r="H90" s="9"/>
      <c r="I90" s="27">
        <f t="shared" si="3"/>
        <v>0</v>
      </c>
      <c r="J90" s="28">
        <f t="shared" si="4"/>
        <v>0</v>
      </c>
      <c r="K90" s="58"/>
      <c r="L90" s="9"/>
      <c r="M90" s="9"/>
    </row>
    <row r="91" ht="14.25" customHeight="1">
      <c r="A91" s="9">
        <f t="shared" si="5"/>
        <v>90</v>
      </c>
      <c r="B91" s="9"/>
      <c r="E91" s="9"/>
      <c r="F91" s="9"/>
      <c r="G91" s="9"/>
      <c r="H91" s="9"/>
      <c r="I91" s="27">
        <f t="shared" si="3"/>
        <v>0</v>
      </c>
      <c r="J91" s="28">
        <f t="shared" si="4"/>
        <v>0</v>
      </c>
      <c r="K91" s="58"/>
      <c r="L91" s="9"/>
      <c r="M91" s="9"/>
    </row>
    <row r="92" ht="14.25" customHeight="1">
      <c r="A92" s="9">
        <f t="shared" si="5"/>
        <v>91</v>
      </c>
      <c r="B92" s="9"/>
      <c r="E92" s="9"/>
      <c r="F92" s="9"/>
      <c r="G92" s="9"/>
      <c r="H92" s="9"/>
      <c r="I92" s="27">
        <f t="shared" si="3"/>
        <v>0</v>
      </c>
      <c r="J92" s="28">
        <f t="shared" si="4"/>
        <v>0</v>
      </c>
      <c r="K92" s="59"/>
      <c r="L92" s="9"/>
      <c r="M92" s="9"/>
    </row>
    <row r="93" ht="14.25" customHeight="1">
      <c r="A93" s="9">
        <f t="shared" si="5"/>
        <v>92</v>
      </c>
      <c r="B93" s="9"/>
      <c r="E93" s="9"/>
      <c r="F93" s="9"/>
      <c r="G93" s="9"/>
      <c r="H93" s="9"/>
      <c r="I93" s="27">
        <f t="shared" si="3"/>
        <v>0</v>
      </c>
      <c r="J93" s="28">
        <f t="shared" si="4"/>
        <v>0</v>
      </c>
      <c r="K93" s="59"/>
      <c r="L93" s="9"/>
      <c r="M93" s="9"/>
    </row>
    <row r="94" ht="14.25" customHeight="1">
      <c r="A94" s="9">
        <f t="shared" si="5"/>
        <v>93</v>
      </c>
      <c r="B94" s="9"/>
      <c r="E94" s="9"/>
      <c r="F94" s="9"/>
      <c r="G94" s="9"/>
      <c r="H94" s="9"/>
      <c r="I94" s="27">
        <f t="shared" si="3"/>
        <v>0</v>
      </c>
      <c r="J94" s="28">
        <f t="shared" si="4"/>
        <v>0</v>
      </c>
      <c r="K94" s="59"/>
      <c r="L94" s="9"/>
      <c r="M94" s="9"/>
    </row>
    <row r="95" ht="14.25" customHeight="1">
      <c r="A95" s="9">
        <f t="shared" si="5"/>
        <v>94</v>
      </c>
      <c r="B95" s="9"/>
      <c r="E95" s="9"/>
      <c r="F95" s="9"/>
      <c r="G95" s="9"/>
      <c r="H95" s="9"/>
      <c r="I95" s="9"/>
      <c r="J95" s="9"/>
      <c r="K95" s="59"/>
      <c r="L95" s="9"/>
      <c r="M95" s="9"/>
    </row>
    <row r="96" ht="14.25" customHeight="1">
      <c r="A96" s="9">
        <f t="shared" si="5"/>
        <v>95</v>
      </c>
      <c r="B96" s="9"/>
      <c r="E96" s="9"/>
      <c r="F96" s="9"/>
      <c r="G96" s="9"/>
      <c r="H96" s="9"/>
      <c r="I96" s="9"/>
      <c r="J96" s="9"/>
      <c r="K96" s="58"/>
      <c r="L96" s="9"/>
      <c r="M96" s="9"/>
    </row>
    <row r="97" ht="14.25" customHeight="1">
      <c r="A97" s="9">
        <f t="shared" si="5"/>
        <v>96</v>
      </c>
      <c r="B97" s="9"/>
      <c r="E97" s="9"/>
      <c r="F97" s="9"/>
      <c r="G97" s="9"/>
      <c r="H97" s="9"/>
      <c r="I97" s="9"/>
      <c r="J97" s="9"/>
      <c r="K97" s="58"/>
      <c r="L97" s="9"/>
      <c r="M97" s="9"/>
    </row>
    <row r="98" ht="14.25" customHeight="1">
      <c r="A98" s="9">
        <f t="shared" si="5"/>
        <v>97</v>
      </c>
      <c r="B98" s="9"/>
      <c r="E98" s="9"/>
      <c r="F98" s="9"/>
      <c r="G98" s="9"/>
      <c r="H98" s="9"/>
      <c r="I98" s="9"/>
      <c r="J98" s="9"/>
      <c r="K98" s="59"/>
      <c r="L98" s="9"/>
      <c r="M98" s="9"/>
    </row>
    <row r="99" ht="14.25" customHeight="1">
      <c r="A99" s="9" t="s">
        <v>598</v>
      </c>
      <c r="B99" s="9"/>
      <c r="E99" s="9"/>
      <c r="F99" s="9"/>
      <c r="G99" s="9"/>
      <c r="H99" s="9"/>
      <c r="I99" s="9"/>
      <c r="J99" s="9"/>
      <c r="K99" s="59"/>
      <c r="L99" s="9"/>
      <c r="M99" s="9"/>
    </row>
    <row r="100" ht="14.25" customHeight="1">
      <c r="A100" s="9">
        <f t="shared" ref="A100:A161" si="6">IF(L100="CAdeau",0,MAX($A$2:A99)+1)</f>
        <v>98</v>
      </c>
      <c r="B100" s="9"/>
      <c r="E100" s="9"/>
      <c r="F100" s="9"/>
      <c r="G100" s="9"/>
      <c r="H100" s="9"/>
      <c r="I100" s="9"/>
      <c r="J100" s="9"/>
      <c r="K100" s="58"/>
      <c r="L100" s="9"/>
      <c r="M100" s="9"/>
    </row>
    <row r="101" ht="14.25" customHeight="1">
      <c r="A101" s="9">
        <f t="shared" si="6"/>
        <v>99</v>
      </c>
      <c r="B101" s="9"/>
      <c r="E101" s="9"/>
      <c r="F101" s="9"/>
      <c r="G101" s="9"/>
      <c r="H101" s="9"/>
      <c r="I101" s="9"/>
      <c r="J101" s="9"/>
      <c r="K101" s="58"/>
      <c r="L101" s="9"/>
      <c r="M101" s="9"/>
    </row>
    <row r="102" ht="14.25" customHeight="1">
      <c r="A102" s="9">
        <f t="shared" si="6"/>
        <v>100</v>
      </c>
      <c r="B102" s="9"/>
      <c r="E102" s="9"/>
      <c r="F102" s="9"/>
      <c r="G102" s="9"/>
      <c r="H102" s="9"/>
      <c r="I102" s="9"/>
      <c r="J102" s="9"/>
      <c r="K102" s="58"/>
      <c r="L102" s="9"/>
      <c r="M102" s="9"/>
    </row>
    <row r="103" ht="14.25" customHeight="1">
      <c r="A103" s="9">
        <f t="shared" si="6"/>
        <v>101</v>
      </c>
      <c r="B103" s="9"/>
      <c r="E103" s="9"/>
      <c r="F103" s="9"/>
      <c r="G103" s="9"/>
      <c r="H103" s="9"/>
      <c r="I103" s="9"/>
      <c r="J103" s="9"/>
      <c r="K103" s="58"/>
      <c r="L103" s="9"/>
      <c r="M103" s="9"/>
    </row>
    <row r="104" ht="14.25" customHeight="1">
      <c r="A104" s="9">
        <f t="shared" si="6"/>
        <v>102</v>
      </c>
      <c r="B104" s="9"/>
      <c r="E104" s="9"/>
      <c r="F104" s="9"/>
      <c r="G104" s="9"/>
      <c r="H104" s="9"/>
      <c r="I104" s="9"/>
      <c r="J104" s="9"/>
      <c r="K104" s="59"/>
      <c r="L104" s="9"/>
      <c r="M104" s="9"/>
    </row>
    <row r="105" ht="14.25" customHeight="1">
      <c r="A105" s="9">
        <f t="shared" si="6"/>
        <v>103</v>
      </c>
      <c r="B105" s="9"/>
      <c r="E105" s="9"/>
      <c r="F105" s="9"/>
      <c r="G105" s="9"/>
      <c r="H105" s="9"/>
      <c r="I105" s="9"/>
      <c r="J105" s="9"/>
      <c r="K105" s="59"/>
      <c r="L105" s="9"/>
      <c r="M105" s="9"/>
    </row>
    <row r="106" ht="14.25" customHeight="1">
      <c r="A106" s="9">
        <f t="shared" si="6"/>
        <v>104</v>
      </c>
      <c r="B106" s="9"/>
      <c r="E106" s="9"/>
      <c r="F106" s="9"/>
      <c r="G106" s="9"/>
      <c r="H106" s="9"/>
      <c r="I106" s="9"/>
      <c r="J106" s="9"/>
      <c r="K106" s="59"/>
      <c r="L106" s="9"/>
      <c r="M106" s="9"/>
    </row>
    <row r="107" ht="14.25" customHeight="1">
      <c r="A107" s="9">
        <f t="shared" si="6"/>
        <v>105</v>
      </c>
      <c r="B107" s="9"/>
      <c r="E107" s="9"/>
      <c r="F107" s="9"/>
      <c r="G107" s="9"/>
      <c r="H107" s="9"/>
      <c r="I107" s="9"/>
      <c r="J107" s="9"/>
      <c r="K107" s="59"/>
      <c r="L107" s="9"/>
      <c r="M107" s="9"/>
    </row>
    <row r="108" ht="14.25" customHeight="1">
      <c r="A108" s="9">
        <f t="shared" si="6"/>
        <v>106</v>
      </c>
      <c r="B108" s="9"/>
      <c r="E108" s="9"/>
      <c r="F108" s="9"/>
      <c r="G108" s="9"/>
      <c r="H108" s="9"/>
      <c r="I108" s="9"/>
      <c r="J108" s="9"/>
      <c r="K108" s="59"/>
      <c r="L108" s="9"/>
      <c r="M108" s="9"/>
    </row>
    <row r="109" ht="14.25" customHeight="1">
      <c r="A109" s="9">
        <f t="shared" si="6"/>
        <v>107</v>
      </c>
      <c r="B109" s="9"/>
      <c r="E109" s="9"/>
      <c r="F109" s="9"/>
      <c r="G109" s="9"/>
      <c r="H109" s="9"/>
      <c r="I109" s="9"/>
      <c r="J109" s="9"/>
      <c r="K109" s="59"/>
      <c r="L109" s="9"/>
      <c r="M109" s="9"/>
    </row>
    <row r="110" ht="14.25" customHeight="1">
      <c r="A110" s="9">
        <f t="shared" si="6"/>
        <v>108</v>
      </c>
      <c r="B110" s="9"/>
      <c r="E110" s="9"/>
      <c r="F110" s="9"/>
      <c r="G110" s="9"/>
      <c r="H110" s="9"/>
      <c r="I110" s="9"/>
      <c r="J110" s="9"/>
      <c r="K110" s="59"/>
      <c r="L110" s="9"/>
      <c r="M110" s="9"/>
    </row>
    <row r="111" ht="14.25" customHeight="1">
      <c r="A111" s="9">
        <f t="shared" si="6"/>
        <v>109</v>
      </c>
      <c r="B111" s="9"/>
      <c r="E111" s="9"/>
      <c r="F111" s="9"/>
      <c r="G111" s="9"/>
      <c r="H111" s="9"/>
      <c r="I111" s="9"/>
      <c r="J111" s="9"/>
      <c r="K111" s="59"/>
      <c r="L111" s="9"/>
      <c r="M111" s="9"/>
    </row>
    <row r="112" ht="14.25" customHeight="1">
      <c r="A112" s="9">
        <f t="shared" si="6"/>
        <v>110</v>
      </c>
      <c r="B112" s="9"/>
      <c r="E112" s="9"/>
      <c r="F112" s="9"/>
      <c r="G112" s="9"/>
      <c r="H112" s="9"/>
      <c r="I112" s="9"/>
      <c r="J112" s="9"/>
      <c r="K112" s="59"/>
      <c r="L112" s="9"/>
      <c r="M112" s="9"/>
    </row>
    <row r="113" ht="14.25" customHeight="1">
      <c r="A113" s="9">
        <f t="shared" si="6"/>
        <v>111</v>
      </c>
      <c r="B113" s="9"/>
      <c r="E113" s="9"/>
      <c r="F113" s="9"/>
      <c r="G113" s="9"/>
      <c r="H113" s="9"/>
      <c r="I113" s="9"/>
      <c r="J113" s="9"/>
      <c r="K113" s="59"/>
      <c r="L113" s="9"/>
      <c r="M113" s="9"/>
    </row>
    <row r="114" ht="14.25" customHeight="1">
      <c r="A114" s="9">
        <f t="shared" si="6"/>
        <v>112</v>
      </c>
      <c r="B114" s="9"/>
      <c r="E114" s="9"/>
      <c r="F114" s="9"/>
      <c r="G114" s="9"/>
      <c r="H114" s="9"/>
      <c r="I114" s="9"/>
      <c r="J114" s="9"/>
      <c r="K114" s="59"/>
      <c r="L114" s="9"/>
      <c r="M114" s="9"/>
    </row>
    <row r="115" ht="14.25" customHeight="1">
      <c r="A115" s="9">
        <f t="shared" si="6"/>
        <v>113</v>
      </c>
      <c r="B115" s="9"/>
      <c r="E115" s="9"/>
      <c r="F115" s="9"/>
      <c r="G115" s="9"/>
      <c r="H115" s="9"/>
      <c r="I115" s="9"/>
      <c r="J115" s="9"/>
      <c r="K115" s="59"/>
      <c r="L115" s="9"/>
      <c r="M115" s="9"/>
    </row>
    <row r="116" ht="14.25" customHeight="1">
      <c r="A116" s="9">
        <f t="shared" si="6"/>
        <v>114</v>
      </c>
      <c r="B116" s="9"/>
      <c r="E116" s="9"/>
      <c r="F116" s="9"/>
      <c r="G116" s="9"/>
      <c r="H116" s="9"/>
      <c r="I116" s="9"/>
      <c r="J116" s="9"/>
      <c r="K116" s="59"/>
      <c r="L116" s="9"/>
      <c r="M116" s="9"/>
    </row>
    <row r="117" ht="14.25" customHeight="1">
      <c r="A117" s="9">
        <f t="shared" si="6"/>
        <v>115</v>
      </c>
      <c r="B117" s="9"/>
      <c r="E117" s="9"/>
      <c r="F117" s="9"/>
      <c r="G117" s="9"/>
      <c r="H117" s="9"/>
      <c r="I117" s="9"/>
      <c r="J117" s="9"/>
      <c r="K117" s="59"/>
      <c r="L117" s="9"/>
      <c r="M117" s="9"/>
    </row>
    <row r="118" ht="14.25" customHeight="1">
      <c r="A118" s="9">
        <f t="shared" si="6"/>
        <v>116</v>
      </c>
      <c r="B118" s="9"/>
      <c r="E118" s="9"/>
      <c r="F118" s="9"/>
      <c r="G118" s="9"/>
      <c r="H118" s="9"/>
      <c r="I118" s="9"/>
      <c r="J118" s="9"/>
      <c r="K118" s="59"/>
      <c r="L118" s="9"/>
      <c r="M118" s="9"/>
    </row>
    <row r="119" ht="14.25" customHeight="1">
      <c r="A119" s="9">
        <f t="shared" si="6"/>
        <v>117</v>
      </c>
      <c r="B119" s="9"/>
      <c r="H119" s="9"/>
      <c r="I119" s="9"/>
      <c r="K119" s="59"/>
      <c r="L119" s="9"/>
      <c r="M119" s="9"/>
    </row>
    <row r="120" ht="14.25" customHeight="1">
      <c r="A120" s="9">
        <f t="shared" si="6"/>
        <v>118</v>
      </c>
      <c r="B120" s="9"/>
      <c r="H120" s="9"/>
      <c r="I120" s="9"/>
      <c r="K120" s="59"/>
      <c r="L120" s="9"/>
      <c r="M120" s="9"/>
    </row>
    <row r="121" ht="14.25" customHeight="1">
      <c r="A121" s="9">
        <f t="shared" si="6"/>
        <v>119</v>
      </c>
      <c r="B121" s="9"/>
      <c r="H121" s="9"/>
      <c r="I121" s="9"/>
      <c r="K121" s="59"/>
      <c r="L121" s="9"/>
      <c r="M121" s="9"/>
    </row>
    <row r="122" ht="14.25" customHeight="1">
      <c r="A122" s="9">
        <f t="shared" si="6"/>
        <v>120</v>
      </c>
      <c r="B122" s="9"/>
      <c r="H122" s="9"/>
      <c r="I122" s="9"/>
      <c r="K122" s="59"/>
      <c r="M122" s="9"/>
    </row>
    <row r="123" ht="14.25" customHeight="1">
      <c r="A123" s="9">
        <f t="shared" si="6"/>
        <v>121</v>
      </c>
      <c r="B123" s="9"/>
      <c r="H123" s="9"/>
      <c r="I123" s="9"/>
      <c r="K123" s="59"/>
    </row>
    <row r="124" ht="14.25" customHeight="1">
      <c r="A124" s="9">
        <f t="shared" si="6"/>
        <v>122</v>
      </c>
      <c r="B124" s="9"/>
      <c r="H124" s="9"/>
      <c r="I124" s="9"/>
    </row>
    <row r="125" ht="14.25" customHeight="1">
      <c r="A125" s="9">
        <f t="shared" si="6"/>
        <v>123</v>
      </c>
      <c r="B125" s="9"/>
      <c r="H125" s="9"/>
      <c r="I125" s="9"/>
    </row>
    <row r="126" ht="14.25" customHeight="1">
      <c r="A126" s="9">
        <f t="shared" si="6"/>
        <v>124</v>
      </c>
      <c r="B126" s="9"/>
      <c r="H126" s="9"/>
      <c r="I126" s="9"/>
    </row>
    <row r="127" ht="14.25" customHeight="1">
      <c r="A127" s="9">
        <f t="shared" si="6"/>
        <v>125</v>
      </c>
      <c r="B127" s="9"/>
      <c r="H127" s="9"/>
      <c r="I127" s="9"/>
    </row>
    <row r="128" ht="14.25" customHeight="1">
      <c r="A128" s="9">
        <f t="shared" si="6"/>
        <v>126</v>
      </c>
      <c r="B128" s="9"/>
      <c r="H128" s="9"/>
      <c r="I128" s="9"/>
    </row>
    <row r="129" ht="14.25" customHeight="1">
      <c r="A129" s="9">
        <f t="shared" si="6"/>
        <v>127</v>
      </c>
      <c r="B129" s="9"/>
      <c r="H129" s="9"/>
      <c r="I129" s="9"/>
    </row>
    <row r="130" ht="14.25" customHeight="1">
      <c r="A130" s="9">
        <f t="shared" si="6"/>
        <v>128</v>
      </c>
      <c r="B130" s="9"/>
      <c r="H130" s="9"/>
      <c r="I130" s="9"/>
    </row>
    <row r="131" ht="14.25" customHeight="1">
      <c r="A131" s="9">
        <f t="shared" si="6"/>
        <v>129</v>
      </c>
      <c r="B131" s="9"/>
      <c r="H131" s="9"/>
      <c r="I131" s="9"/>
    </row>
    <row r="132" ht="14.25" customHeight="1">
      <c r="A132" s="9">
        <f t="shared" si="6"/>
        <v>130</v>
      </c>
      <c r="B132" s="9"/>
      <c r="H132" s="9"/>
      <c r="I132" s="9"/>
    </row>
    <row r="133" ht="14.25" customHeight="1">
      <c r="A133" s="9">
        <f t="shared" si="6"/>
        <v>131</v>
      </c>
      <c r="B133" s="9"/>
      <c r="H133" s="9"/>
      <c r="I133" s="9"/>
    </row>
    <row r="134" ht="14.25" customHeight="1">
      <c r="A134" s="9">
        <f t="shared" si="6"/>
        <v>132</v>
      </c>
      <c r="B134" s="9"/>
      <c r="H134" s="9"/>
      <c r="I134" s="9"/>
    </row>
    <row r="135" ht="14.25" customHeight="1">
      <c r="A135" s="9">
        <f t="shared" si="6"/>
        <v>133</v>
      </c>
      <c r="B135" s="9"/>
      <c r="H135" s="9"/>
      <c r="I135" s="9"/>
    </row>
    <row r="136" ht="14.25" customHeight="1">
      <c r="A136" s="9">
        <f t="shared" si="6"/>
        <v>134</v>
      </c>
      <c r="B136" s="9"/>
      <c r="H136" s="9"/>
      <c r="I136" s="9"/>
    </row>
    <row r="137" ht="14.25" customHeight="1">
      <c r="A137" s="9">
        <f t="shared" si="6"/>
        <v>135</v>
      </c>
      <c r="B137" s="9"/>
      <c r="H137" s="9"/>
      <c r="I137" s="9"/>
    </row>
    <row r="138" ht="14.25" customHeight="1">
      <c r="A138" s="9">
        <f t="shared" si="6"/>
        <v>136</v>
      </c>
      <c r="B138" s="9"/>
      <c r="H138" s="9"/>
      <c r="I138" s="9"/>
    </row>
    <row r="139" ht="14.25" customHeight="1">
      <c r="A139" s="9">
        <f t="shared" si="6"/>
        <v>137</v>
      </c>
      <c r="B139" s="9"/>
      <c r="H139" s="9"/>
      <c r="I139" s="9"/>
    </row>
    <row r="140" ht="14.25" customHeight="1">
      <c r="A140" s="9">
        <f t="shared" si="6"/>
        <v>138</v>
      </c>
      <c r="B140" s="9"/>
      <c r="H140" s="9"/>
      <c r="I140" s="9"/>
    </row>
    <row r="141" ht="14.25" customHeight="1">
      <c r="A141" s="9">
        <f t="shared" si="6"/>
        <v>139</v>
      </c>
      <c r="B141" s="9"/>
      <c r="H141" s="9"/>
      <c r="I141" s="9"/>
    </row>
    <row r="142" ht="14.25" customHeight="1">
      <c r="A142" s="9">
        <f t="shared" si="6"/>
        <v>140</v>
      </c>
      <c r="B142" s="9"/>
      <c r="H142" s="9"/>
      <c r="I142" s="9"/>
    </row>
    <row r="143" ht="14.25" customHeight="1">
      <c r="A143" s="9">
        <f t="shared" si="6"/>
        <v>141</v>
      </c>
      <c r="B143" s="9"/>
      <c r="H143" s="9"/>
      <c r="I143" s="9"/>
    </row>
    <row r="144" ht="14.25" customHeight="1">
      <c r="A144" s="9">
        <f t="shared" si="6"/>
        <v>142</v>
      </c>
      <c r="B144" s="9"/>
      <c r="H144" s="9"/>
      <c r="I144" s="9"/>
    </row>
    <row r="145" ht="14.25" customHeight="1">
      <c r="A145" s="9">
        <f t="shared" si="6"/>
        <v>143</v>
      </c>
      <c r="B145" s="9"/>
      <c r="H145" s="9"/>
      <c r="I145" s="9"/>
    </row>
    <row r="146" ht="14.25" customHeight="1">
      <c r="A146" s="9">
        <f t="shared" si="6"/>
        <v>144</v>
      </c>
      <c r="B146" s="9"/>
      <c r="H146" s="9"/>
      <c r="I146" s="9"/>
    </row>
    <row r="147" ht="14.25" customHeight="1">
      <c r="A147" s="9">
        <f t="shared" si="6"/>
        <v>145</v>
      </c>
      <c r="B147" s="9"/>
      <c r="H147" s="9"/>
      <c r="I147" s="9"/>
    </row>
    <row r="148" ht="14.25" customHeight="1">
      <c r="A148" s="9">
        <f t="shared" si="6"/>
        <v>146</v>
      </c>
      <c r="B148" s="9"/>
      <c r="H148" s="9"/>
      <c r="I148" s="9"/>
    </row>
    <row r="149" ht="14.25" customHeight="1">
      <c r="A149" s="9">
        <f t="shared" si="6"/>
        <v>147</v>
      </c>
      <c r="B149" s="9"/>
      <c r="H149" s="9"/>
      <c r="I149" s="9"/>
    </row>
    <row r="150" ht="14.25" customHeight="1">
      <c r="A150" s="9">
        <f t="shared" si="6"/>
        <v>148</v>
      </c>
      <c r="B150" s="9"/>
      <c r="H150" s="9"/>
      <c r="I150" s="9"/>
    </row>
    <row r="151" ht="14.25" customHeight="1">
      <c r="A151" s="9">
        <f t="shared" si="6"/>
        <v>149</v>
      </c>
      <c r="B151" s="9"/>
    </row>
    <row r="152" ht="14.25" customHeight="1">
      <c r="A152" s="9">
        <f t="shared" si="6"/>
        <v>150</v>
      </c>
    </row>
    <row r="153" ht="14.25" customHeight="1">
      <c r="A153" s="9">
        <f t="shared" si="6"/>
        <v>151</v>
      </c>
    </row>
    <row r="154" ht="14.25" customHeight="1">
      <c r="A154" s="9">
        <f t="shared" si="6"/>
        <v>152</v>
      </c>
    </row>
    <row r="155" ht="14.25" customHeight="1">
      <c r="A155" s="9">
        <f t="shared" si="6"/>
        <v>153</v>
      </c>
    </row>
    <row r="156" ht="14.25" customHeight="1">
      <c r="A156" s="9">
        <f t="shared" si="6"/>
        <v>154</v>
      </c>
    </row>
    <row r="157" ht="14.25" customHeight="1">
      <c r="A157" s="9">
        <f t="shared" si="6"/>
        <v>155</v>
      </c>
    </row>
    <row r="158" ht="14.25" customHeight="1">
      <c r="A158" s="9">
        <f t="shared" si="6"/>
        <v>156</v>
      </c>
    </row>
    <row r="159" ht="14.25" customHeight="1">
      <c r="A159" s="9">
        <f t="shared" si="6"/>
        <v>157</v>
      </c>
    </row>
    <row r="160" ht="14.25" customHeight="1">
      <c r="A160" s="9">
        <f t="shared" si="6"/>
        <v>158</v>
      </c>
    </row>
    <row r="161" ht="14.25" customHeight="1">
      <c r="A161" s="9">
        <f t="shared" si="6"/>
        <v>159</v>
      </c>
    </row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AI$996"/>
  <dataValidations>
    <dataValidation type="list" allowBlank="1" showErrorMessage="1" sqref="B2:B12 B14:B30 B32:B44 B45:C45 B47:B48 B50:B151">
      <formula1>'Suivi Client'!$C$2:$C$200</formula1>
    </dataValidation>
    <dataValidation type="list" allowBlank="1" showErrorMessage="1" sqref="M2 L3:L21 L110:L121">
      <formula1>'LISTE DEROULANTE'!$A$1:$A$4</formula1>
    </dataValidation>
    <dataValidation type="list" allowBlank="1" showErrorMessage="1" sqref="L22:L109">
      <formula1>'LISTE DEROULANTE'!$A$1:$A$5</formula1>
    </dataValidation>
    <dataValidation type="list" allowBlank="1" showErrorMessage="1" sqref="N2 M3:M122">
      <formula1>'LISTE DEROULANTE'!$B$1:$B$3</formula1>
    </dataValidation>
  </dataValidations>
  <printOptions/>
  <pageMargins bottom="0.75" footer="0.0" header="0.0" left="0.7" right="0.7" top="0.75"/>
  <pageSetup paperSize="9" scale="4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15.29"/>
    <col customWidth="1" min="3" max="3" width="19.14"/>
    <col customWidth="1" min="7" max="7" width="13.29"/>
  </cols>
  <sheetData>
    <row r="1" ht="15.0" customHeight="1">
      <c r="A1" s="138"/>
      <c r="B1" s="60"/>
      <c r="C1" s="60"/>
      <c r="D1" s="60"/>
      <c r="E1" s="60"/>
      <c r="F1" s="61"/>
      <c r="G1" s="61"/>
      <c r="H1" s="61"/>
      <c r="I1" s="62"/>
      <c r="J1" s="62"/>
      <c r="K1" s="62"/>
      <c r="L1" s="60"/>
    </row>
    <row r="2" ht="15.0" customHeight="1">
      <c r="A2" s="60"/>
      <c r="B2" s="60"/>
      <c r="D2" s="60"/>
      <c r="J2" s="60"/>
      <c r="K2" s="60"/>
      <c r="L2" s="60"/>
    </row>
    <row r="3" ht="84.0" customHeight="1">
      <c r="A3" s="63"/>
      <c r="B3" s="63"/>
      <c r="C3" s="60"/>
      <c r="D3" s="63"/>
      <c r="E3" s="63"/>
      <c r="F3" s="63"/>
      <c r="G3" s="63"/>
      <c r="H3" s="63"/>
      <c r="I3" s="60"/>
      <c r="J3" s="60"/>
      <c r="K3" s="60"/>
      <c r="L3" s="60"/>
    </row>
    <row r="4" ht="30.75" customHeight="1">
      <c r="A4" s="63"/>
      <c r="B4" s="64"/>
      <c r="C4" s="63"/>
      <c r="D4" s="63"/>
      <c r="E4" s="65"/>
      <c r="F4" s="65"/>
      <c r="G4" s="65"/>
      <c r="H4" s="63"/>
      <c r="I4" s="60"/>
      <c r="J4" s="60"/>
      <c r="K4" s="60"/>
      <c r="L4" s="60"/>
    </row>
    <row r="5" ht="31.5" customHeight="1">
      <c r="A5" s="63"/>
      <c r="B5" s="65"/>
      <c r="C5" s="66"/>
      <c r="D5" s="65"/>
      <c r="E5" s="67" t="s">
        <v>531</v>
      </c>
      <c r="F5" s="68"/>
      <c r="G5" s="68"/>
      <c r="H5" s="68"/>
      <c r="I5" s="69"/>
      <c r="J5" s="60"/>
      <c r="K5" s="70"/>
      <c r="L5" s="60"/>
    </row>
    <row r="6" ht="15.0" customHeight="1">
      <c r="A6" s="65"/>
      <c r="B6" s="65"/>
      <c r="C6" s="65"/>
      <c r="D6" s="65"/>
      <c r="E6" s="65"/>
      <c r="F6" s="65"/>
      <c r="G6" s="65"/>
      <c r="H6" s="65"/>
      <c r="I6" s="70"/>
      <c r="J6" s="60"/>
      <c r="K6" s="70"/>
      <c r="L6" s="60"/>
    </row>
    <row r="7" ht="15.0" customHeight="1">
      <c r="A7" s="71"/>
      <c r="B7" s="69"/>
      <c r="C7" s="71"/>
      <c r="D7" s="69"/>
      <c r="E7" s="65"/>
      <c r="F7" s="65"/>
      <c r="G7" s="71"/>
      <c r="H7" s="69"/>
      <c r="I7" s="71"/>
      <c r="J7" s="68"/>
      <c r="K7" s="69"/>
      <c r="L7" s="63"/>
    </row>
    <row r="8" ht="21.0" customHeight="1">
      <c r="A8" s="71"/>
      <c r="B8" s="69"/>
      <c r="C8" s="71"/>
      <c r="D8" s="69"/>
      <c r="E8" s="65"/>
      <c r="F8" s="65"/>
      <c r="G8" s="73" t="s">
        <v>533</v>
      </c>
      <c r="H8" s="69"/>
      <c r="I8" s="74" t="str">
        <f>VLOOKUP(C16,'Suivi Facturation 2024'!$A$1:$K$10002,2,FALSE)</f>
        <v>Stanislas BOUTMY</v>
      </c>
      <c r="J8" s="75"/>
      <c r="K8" s="76"/>
    </row>
    <row r="9" ht="24.75" customHeight="1">
      <c r="A9" s="71"/>
      <c r="B9" s="69"/>
      <c r="C9" s="71"/>
      <c r="D9" s="69"/>
      <c r="E9" s="65"/>
      <c r="F9" s="65"/>
      <c r="G9" s="73" t="s">
        <v>3</v>
      </c>
      <c r="H9" s="69"/>
      <c r="I9" s="74" t="str">
        <f>VLOOKUP(I8,'Suivi Client'!C2:H2960,3,FALSE)</f>
        <v/>
      </c>
      <c r="J9" s="63"/>
      <c r="K9" s="63"/>
      <c r="L9" s="63"/>
    </row>
    <row r="10" ht="19.5" customHeight="1">
      <c r="A10" s="71"/>
      <c r="B10" s="69"/>
      <c r="C10" s="71"/>
      <c r="D10" s="69"/>
      <c r="E10" s="65"/>
      <c r="F10" s="65"/>
      <c r="G10" s="77"/>
      <c r="H10" s="69"/>
      <c r="I10" s="77" t="str">
        <f>VLOOKUP(I8,'Suivi Client'!C2:H2960,4,FALSE)</f>
        <v/>
      </c>
      <c r="J10" s="75" t="str">
        <f>VLOOKUP(I8,'Suivi Client'!C2:H2960,5,FALSE)</f>
        <v>PARIS</v>
      </c>
      <c r="K10" s="78"/>
      <c r="L10" s="63"/>
    </row>
    <row r="11" ht="15.0" customHeight="1">
      <c r="A11" s="71"/>
      <c r="B11" s="69"/>
      <c r="C11" s="71"/>
      <c r="D11" s="69"/>
      <c r="E11" s="65"/>
      <c r="F11" s="65"/>
      <c r="G11" s="73"/>
      <c r="H11" s="69"/>
      <c r="I11" s="77"/>
      <c r="J11" s="68"/>
      <c r="K11" s="69"/>
      <c r="L11" s="63"/>
    </row>
    <row r="12">
      <c r="A12" s="71"/>
      <c r="B12" s="69"/>
      <c r="C12" s="65"/>
      <c r="D12" s="65"/>
      <c r="E12" s="65"/>
      <c r="F12" s="156"/>
      <c r="G12" s="73" t="s">
        <v>534</v>
      </c>
      <c r="H12" s="69"/>
      <c r="I12" s="79" t="str">
        <f>IF(VLOOKUP(I8,'Suivi Client'!$C$2:$H$2000,2,FALSE)=0,"",VLOOKUP(I8,'Suivi Client'!$C$2:$H$2000,2,FALSE))</f>
        <v>stanislas.boutmy@sienna-im.com</v>
      </c>
      <c r="J12" s="80"/>
      <c r="K12" s="80"/>
      <c r="L12" s="63"/>
    </row>
    <row r="13">
      <c r="A13" s="81"/>
      <c r="B13" s="69"/>
      <c r="C13" s="81"/>
      <c r="D13" s="69"/>
      <c r="E13" s="65"/>
      <c r="F13" s="65"/>
      <c r="G13" s="71"/>
      <c r="H13" s="69"/>
      <c r="I13" s="71"/>
      <c r="J13" s="68"/>
      <c r="K13" s="69"/>
      <c r="L13" s="63"/>
    </row>
    <row r="14">
      <c r="A14" s="81"/>
      <c r="B14" s="69"/>
      <c r="C14" s="81"/>
      <c r="D14" s="69"/>
      <c r="E14" s="65"/>
      <c r="F14" s="65"/>
      <c r="G14" s="71"/>
      <c r="H14" s="69"/>
      <c r="I14" s="65"/>
      <c r="J14" s="63"/>
      <c r="K14" s="65"/>
      <c r="L14" s="63"/>
      <c r="M14" s="11">
        <v>23.0</v>
      </c>
    </row>
    <row r="15">
      <c r="A15" s="150"/>
      <c r="B15" s="83"/>
      <c r="C15" s="84"/>
      <c r="D15" s="85"/>
      <c r="E15" s="65"/>
      <c r="F15" s="65"/>
      <c r="G15" s="65"/>
      <c r="H15" s="86"/>
      <c r="I15" s="87"/>
      <c r="J15" s="60"/>
      <c r="K15" s="70"/>
      <c r="L15" s="60"/>
    </row>
    <row r="16">
      <c r="A16" s="88" t="s">
        <v>544</v>
      </c>
      <c r="B16" s="89"/>
      <c r="C16" s="90">
        <v>31.0</v>
      </c>
      <c r="D16" s="85"/>
      <c r="E16" s="70"/>
      <c r="F16" s="70"/>
      <c r="G16" s="70"/>
      <c r="H16" s="87"/>
      <c r="I16" s="87"/>
      <c r="J16" s="60"/>
      <c r="K16" s="70"/>
      <c r="L16" s="60"/>
    </row>
    <row r="17">
      <c r="A17" s="91" t="s">
        <v>442</v>
      </c>
      <c r="B17" s="92"/>
      <c r="C17" s="157"/>
      <c r="E17" s="70"/>
      <c r="F17" s="70"/>
      <c r="G17" s="70"/>
      <c r="H17" s="87"/>
      <c r="I17" s="87"/>
      <c r="J17" s="60"/>
      <c r="K17" s="70"/>
      <c r="L17" s="60"/>
    </row>
    <row r="18">
      <c r="A18" s="94"/>
      <c r="B18" s="94"/>
      <c r="C18" s="152"/>
      <c r="D18" s="60"/>
      <c r="E18" s="70"/>
      <c r="F18" s="70"/>
      <c r="G18" s="70"/>
      <c r="H18" s="87"/>
      <c r="I18" s="87"/>
      <c r="J18" s="60"/>
      <c r="K18" s="70"/>
      <c r="L18" s="60"/>
    </row>
    <row r="19">
      <c r="A19" s="87"/>
      <c r="B19" s="87"/>
      <c r="C19" s="60"/>
      <c r="D19" s="96"/>
      <c r="E19" s="63"/>
      <c r="F19" s="70"/>
      <c r="G19" s="70"/>
      <c r="H19" s="87"/>
      <c r="I19" s="87"/>
      <c r="J19" s="60"/>
      <c r="K19" s="70"/>
      <c r="L19" s="60"/>
    </row>
    <row r="20">
      <c r="A20" s="70"/>
      <c r="B20" s="97"/>
      <c r="C20" s="97"/>
      <c r="D20" s="97"/>
      <c r="E20" s="97"/>
      <c r="F20" s="97"/>
      <c r="G20" s="97"/>
      <c r="H20" s="70"/>
      <c r="I20" s="70"/>
      <c r="J20" s="70"/>
      <c r="K20" s="97"/>
      <c r="L20" s="60"/>
    </row>
    <row r="21" ht="15.75" customHeight="1">
      <c r="A21" s="98" t="s">
        <v>535</v>
      </c>
      <c r="B21" s="99" t="s">
        <v>536</v>
      </c>
      <c r="C21" s="100"/>
      <c r="D21" s="100"/>
      <c r="E21" s="100"/>
      <c r="F21" s="100"/>
      <c r="G21" s="101"/>
      <c r="H21" s="102" t="s">
        <v>537</v>
      </c>
      <c r="I21" s="103" t="s">
        <v>449</v>
      </c>
      <c r="J21" s="101"/>
      <c r="K21" s="103" t="s">
        <v>538</v>
      </c>
      <c r="L21" s="101"/>
    </row>
    <row r="22" ht="15.75" customHeight="1">
      <c r="A22" s="104"/>
      <c r="B22" s="105"/>
      <c r="C22" s="106"/>
      <c r="D22" s="106"/>
      <c r="E22" s="106"/>
      <c r="F22" s="106"/>
      <c r="G22" s="107"/>
      <c r="H22" s="104"/>
      <c r="I22" s="105"/>
      <c r="J22" s="107"/>
      <c r="K22" s="105"/>
      <c r="L22" s="107"/>
    </row>
    <row r="23" ht="15.75" customHeight="1">
      <c r="A23" s="108" t="str">
        <f>IF(VLOOKUP($C$16,'Suivi Facturation 2024'!$A$2:$M$1096,3,FALSE)&gt;0,"0,75","")</f>
        <v/>
      </c>
      <c r="B23" s="109" t="str">
        <f>IF(VLOOKUP($C$16,'Suivi Facturation 2024'!$A$2:$M$978,3,FALSE)&gt;0,"Bouteille CHAMPAGNE SELECTION","")</f>
        <v/>
      </c>
      <c r="C23" s="110"/>
      <c r="D23" s="110"/>
      <c r="E23" s="110"/>
      <c r="F23" s="110"/>
      <c r="G23" s="111"/>
      <c r="H23" s="112" t="str">
        <f>IF(VLOOKUP($C$16,'Suivi Facturation 2025'!$A$2:$M$1096,3,FALSE)&gt;0,VLOOKUP($C$16,'Suivi Facturation 2025'!$A$2:$M$1096,3,FALSE),"")</f>
        <v/>
      </c>
      <c r="I23" s="113" t="str">
        <f>IF(VLOOKUP($C$16,'Suivi Facturation 2025'!$A$2:$M$1096,3,FALSE)&gt;0,'Suivi Facturation 2025'!S2,"")</f>
        <v/>
      </c>
      <c r="J23" s="114"/>
      <c r="K23" s="115" t="str">
        <f>IF(VLOOKUP($C$16,'Suivi Facturation 2025'!$A$2:$M$1096,3,FALSE)&gt;0,I23*H23,"")</f>
        <v/>
      </c>
      <c r="L23" s="114"/>
    </row>
    <row r="24" ht="15.75" customHeight="1">
      <c r="A24" s="108" t="str">
        <f>IF(VLOOKUP($C$16,'Suivi Facturation 2024'!$A$2:$M$1096,4,FALSE)&gt;0,"0,75","")</f>
        <v/>
      </c>
      <c r="B24" s="116" t="str">
        <f>IF(VLOOKUP($C$16,'Suivi Facturation 2024'!$A$2:$M$978,4,FALSE)&gt;0,"Bouteille CHAMPAGNE ROSE","")</f>
        <v/>
      </c>
      <c r="C24" s="68"/>
      <c r="D24" s="68"/>
      <c r="E24" s="68"/>
      <c r="F24" s="68"/>
      <c r="G24" s="114"/>
      <c r="H24" s="112" t="str">
        <f>IF(VLOOKUP($C$16,'Suivi Facturation 2025'!$A$2:$M$1096,4,FALSE)&gt;0,VLOOKUP($C$16,'Suivi Facturation 2025'!$A$2:$M$1096,4,FALSE),"")</f>
        <v/>
      </c>
      <c r="I24" s="113" t="str">
        <f>IF(VLOOKUP($C$16,'Suivi Facturation 2025'!$A$2:$M$1096,4,FALSE)&gt;0,'Suivi Facturation 2025'!S3,"")</f>
        <v/>
      </c>
      <c r="J24" s="114"/>
      <c r="K24" s="117" t="str">
        <f>IF(VLOOKUP($C$16,'Suivi Facturation 2025'!$A$2:$M$1096,4,FALSE)&gt;0,I24*H24,"")</f>
        <v/>
      </c>
      <c r="L24" s="114"/>
    </row>
    <row r="25" ht="15.75" customHeight="1">
      <c r="A25" s="108" t="str">
        <f>IF(VLOOKUP($C$16,'Suivi Facturation 2024'!$A$2:$M$1096,5,FALSE)&gt;0,"0,75","")</f>
        <v>0,75</v>
      </c>
      <c r="B25" s="116" t="str">
        <f>IF(VLOOKUP($C$16,'Suivi Facturation 2024'!$A$2:$M$978,5,FALSE)&gt;0,"Bouteille CHAMPAGNE BLANC DE BLANC","")</f>
        <v>Bouteille CHAMPAGNE BLANC DE BLANC</v>
      </c>
      <c r="C25" s="68"/>
      <c r="D25" s="68"/>
      <c r="E25" s="68"/>
      <c r="F25" s="68"/>
      <c r="G25" s="114"/>
      <c r="H25" s="112">
        <f>IF(VLOOKUP($C$16,'Suivi Facturation 2024'!$A$2:$M$1996,5,FALSE)&gt;0,VLOOKUP($C$16,'Suivi Facturation 2024'!$A$2:$M$1996,5,FALSE),"")</f>
        <v>12</v>
      </c>
      <c r="I25" s="113">
        <f>IF(VLOOKUP($C$16,'Suivi Facturation 2024'!$A$2:$M$1096,5,FALSE)&gt;0,'Suivi Facturation 2024'!S4,"")</f>
        <v>18.5</v>
      </c>
      <c r="J25" s="114"/>
      <c r="K25" s="81">
        <f>IF(VLOOKUP($C$16,'Suivi Facturation 2024'!$A$2:$M$1096,5,FALSE)&gt;0,I25*H25,"")</f>
        <v>222</v>
      </c>
      <c r="L25" s="114"/>
    </row>
    <row r="26" ht="15.75" customHeight="1">
      <c r="A26" s="108" t="str">
        <f>IF(VLOOKUP($C$16,'Suivi Facturation 2025'!$A$2:$M$1096,6,FALSE)&gt;0,"0,75","")</f>
        <v/>
      </c>
      <c r="B26" s="116" t="str">
        <f>IF(VLOOKUP($C$16,'Suivi Facturation 2025'!$A$2:$M$1096,6,FALSE)&gt;0,"Bouteille CHAMPAGNE PRESTIGE","")</f>
        <v/>
      </c>
      <c r="C26" s="68"/>
      <c r="D26" s="68"/>
      <c r="E26" s="68"/>
      <c r="F26" s="68"/>
      <c r="G26" s="114"/>
      <c r="H26" s="112" t="str">
        <f>IF(VLOOKUP($C$16,'Suivi Facturation 2025'!$A$2:$M$1096,6,FALSE)&gt;0,VLOOKUP($C$16,'Suivi Facturation 2025'!$A$2:$M$1096,6,FALSE),"")</f>
        <v/>
      </c>
      <c r="I26" s="113" t="str">
        <f>IF(VLOOKUP($C$16,'Suivi Facturation 2025'!$A$2:$M$1096,6,FALSE)&gt;0,'Suivi Facturation 2025'!S5,"")</f>
        <v/>
      </c>
      <c r="J26" s="114"/>
      <c r="K26" s="81" t="str">
        <f>IF(VLOOKUP($C$16,'Suivi Facturation 2025'!$A$2:$M$1096,6,FALSE)&gt;0,I26*H26,"")</f>
        <v/>
      </c>
      <c r="L26" s="114"/>
    </row>
    <row r="27" ht="15.75" customHeight="1">
      <c r="A27" s="108" t="str">
        <f>IF(VLOOKUP($C$16,'Suivi Facturation 2025'!$A$2:$M$1096,7,FALSE)&gt;0,"1,5","")</f>
        <v/>
      </c>
      <c r="B27" s="116" t="str">
        <f>IF(VLOOKUP($C$16,'Suivi Facturation 2025'!$A$2:$M$1096,7,FALSE)&gt;0,"MAGNUM SELECTION","")</f>
        <v/>
      </c>
      <c r="C27" s="68"/>
      <c r="D27" s="68"/>
      <c r="E27" s="68"/>
      <c r="F27" s="68"/>
      <c r="G27" s="114"/>
      <c r="H27" s="154"/>
      <c r="I27" s="113" t="str">
        <f>IF(VLOOKUP($C$16,'Suivi Facturation 2025'!$A$2:$M$1096,7,FALSE)&gt;0,'Suivi Facturation 2025'!S6,"")</f>
        <v/>
      </c>
      <c r="J27" s="114"/>
      <c r="K27" s="81" t="str">
        <f>IF(VLOOKUP($C$16,'Suivi Facturation 2025'!$A$2:$M$1096,7,FALSE)&gt;0,I27*H27,"")</f>
        <v/>
      </c>
      <c r="L27" s="114"/>
    </row>
    <row r="28" ht="15.75" customHeight="1">
      <c r="B28" s="116" t="str">
        <f>IF(VLOOKUP($C$16,'Suivi Facturation 2025'!$A$2:$P$1978,16,FALSE)&gt;0,"PRIX LIVRAISON","")</f>
        <v/>
      </c>
      <c r="C28" s="68"/>
      <c r="D28" s="68"/>
      <c r="E28" s="68"/>
      <c r="F28" s="68"/>
      <c r="G28" s="114"/>
      <c r="H28" s="118"/>
      <c r="K28" s="119" t="str">
        <f>IF(VLOOKUP($C$16,'Suivi Facturation 2025'!$A$2:$P$1978,16,FALSE)&gt;0,VLOOKUP($C$16,'Suivi Facturation 2025'!$A$2:$P$1978,16,FALSE),"")</f>
        <v/>
      </c>
      <c r="L28" s="114"/>
    </row>
    <row r="29" ht="90.75" customHeight="1">
      <c r="A29" s="120"/>
      <c r="B29" s="121"/>
      <c r="C29" s="121"/>
      <c r="D29" s="121"/>
      <c r="E29" s="122"/>
      <c r="F29" s="122"/>
      <c r="G29" s="122"/>
      <c r="H29" s="123"/>
      <c r="I29" s="122"/>
      <c r="J29" s="112"/>
      <c r="K29" s="122"/>
      <c r="L29" s="112"/>
    </row>
    <row r="30" ht="49.5" customHeight="1">
      <c r="A30" s="124"/>
      <c r="B30" s="71"/>
      <c r="C30" s="68"/>
      <c r="D30" s="69"/>
      <c r="E30" s="126"/>
      <c r="F30" s="126"/>
      <c r="G30" s="126"/>
      <c r="H30" s="127"/>
      <c r="I30" s="71"/>
      <c r="J30" s="114"/>
      <c r="K30" s="71"/>
      <c r="L30" s="114"/>
    </row>
    <row r="31" ht="15.75" customHeight="1">
      <c r="A31" s="124"/>
      <c r="B31" s="71"/>
      <c r="C31" s="68"/>
      <c r="D31" s="69"/>
      <c r="E31" s="126"/>
      <c r="F31" s="126"/>
      <c r="G31" s="126"/>
      <c r="H31" s="127"/>
      <c r="I31" s="71"/>
      <c r="J31" s="114"/>
      <c r="K31" s="71"/>
      <c r="L31" s="114"/>
    </row>
    <row r="32" ht="27.75" customHeight="1">
      <c r="A32" s="124"/>
      <c r="B32" s="71"/>
      <c r="C32" s="68"/>
      <c r="D32" s="69"/>
      <c r="E32" s="126"/>
      <c r="F32" s="126"/>
      <c r="G32" s="126"/>
      <c r="H32" s="127"/>
      <c r="I32" s="71"/>
      <c r="J32" s="114"/>
      <c r="K32" s="71"/>
      <c r="L32" s="114"/>
    </row>
    <row r="33" ht="15.75" customHeight="1">
      <c r="A33" s="124"/>
      <c r="B33" s="71"/>
      <c r="C33" s="68"/>
      <c r="D33" s="69"/>
      <c r="E33" s="126"/>
      <c r="F33" s="126"/>
      <c r="G33" s="126"/>
      <c r="H33" s="127"/>
      <c r="I33" s="71"/>
      <c r="J33" s="114"/>
      <c r="K33" s="71"/>
      <c r="L33" s="114"/>
    </row>
    <row r="34" ht="15.75" customHeight="1">
      <c r="A34" s="124"/>
      <c r="B34" s="71"/>
      <c r="C34" s="68"/>
      <c r="D34" s="69"/>
      <c r="E34" s="126"/>
      <c r="F34" s="126"/>
      <c r="G34" s="126"/>
      <c r="H34" s="127"/>
      <c r="I34" s="71"/>
      <c r="J34" s="114"/>
      <c r="K34" s="71"/>
      <c r="L34" s="114"/>
    </row>
    <row r="35" ht="15.75" customHeight="1">
      <c r="A35" s="128"/>
      <c r="B35" s="129"/>
      <c r="C35" s="130"/>
      <c r="D35" s="92"/>
      <c r="E35" s="131"/>
      <c r="F35" s="131"/>
      <c r="G35" s="131"/>
      <c r="H35" s="132"/>
      <c r="I35" s="129"/>
      <c r="J35" s="133"/>
      <c r="K35" s="129"/>
      <c r="L35" s="133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</row>
    <row r="37" ht="15.75" customHeight="1">
      <c r="A37" s="70"/>
      <c r="B37" s="70"/>
      <c r="C37" s="70"/>
      <c r="D37" s="70"/>
      <c r="E37" s="70"/>
      <c r="F37" s="70"/>
      <c r="G37" s="70"/>
      <c r="H37" s="60"/>
      <c r="I37" s="60"/>
      <c r="J37" s="60"/>
      <c r="K37" s="134" t="s">
        <v>539</v>
      </c>
      <c r="L37" s="135">
        <f>SUM(K23:L30)-L38</f>
        <v>185</v>
      </c>
    </row>
    <row r="38" ht="15.75" customHeight="1">
      <c r="A38" s="70"/>
      <c r="B38" s="70"/>
      <c r="C38" s="70"/>
      <c r="D38" s="70"/>
      <c r="E38" s="70"/>
      <c r="F38" s="70"/>
      <c r="G38" s="70"/>
      <c r="H38" s="60"/>
      <c r="I38" s="60"/>
      <c r="J38" s="60"/>
      <c r="K38" s="134" t="s">
        <v>540</v>
      </c>
      <c r="L38" s="135">
        <f>IFERROR(SUM(K23:L29)-SUM(K23:L29)/1.2,"")</f>
        <v>37</v>
      </c>
    </row>
    <row r="39" ht="15.75" customHeight="1">
      <c r="A39" s="70"/>
      <c r="B39" s="70"/>
      <c r="C39" s="70"/>
      <c r="D39" s="70"/>
      <c r="E39" s="70"/>
      <c r="F39" s="70"/>
      <c r="G39" s="70"/>
      <c r="H39" s="60"/>
      <c r="I39" s="60"/>
      <c r="J39" s="60"/>
      <c r="K39" s="134"/>
      <c r="L39" s="136"/>
    </row>
    <row r="40" ht="15.75" customHeight="1">
      <c r="A40" s="70"/>
      <c r="B40" s="70"/>
      <c r="C40" s="70"/>
      <c r="D40" s="70"/>
      <c r="E40" s="70"/>
      <c r="F40" s="70"/>
      <c r="G40" s="70"/>
      <c r="H40" s="60"/>
      <c r="I40" s="60"/>
      <c r="J40" s="60"/>
      <c r="K40" s="134" t="s">
        <v>541</v>
      </c>
      <c r="L40" s="137">
        <f>SUM(K23:L30)</f>
        <v>222</v>
      </c>
    </row>
    <row r="41" ht="15.75" customHeight="1">
      <c r="A41" s="70"/>
      <c r="B41" s="70"/>
      <c r="C41" s="70"/>
      <c r="D41" s="70"/>
      <c r="E41" s="70"/>
      <c r="F41" s="70"/>
      <c r="G41" s="70"/>
      <c r="H41" s="60"/>
      <c r="I41" s="60"/>
      <c r="J41" s="60"/>
      <c r="K41" s="60"/>
      <c r="L41" s="60"/>
    </row>
    <row r="42" ht="15.75" customHeight="1">
      <c r="A42" s="139" t="s">
        <v>542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1"/>
    </row>
    <row r="43" ht="15.75" customHeight="1">
      <c r="A43" s="142"/>
      <c r="L43" s="143"/>
    </row>
    <row r="44" ht="15.75" customHeight="1">
      <c r="A44" s="142"/>
      <c r="L44" s="143"/>
    </row>
    <row r="45" ht="15.75" customHeight="1">
      <c r="A45" s="142"/>
      <c r="L45" s="143"/>
    </row>
    <row r="46" ht="64.5" customHeight="1">
      <c r="A46" s="142"/>
      <c r="L46" s="143"/>
    </row>
    <row r="47" ht="15.75" hidden="1" customHeight="1">
      <c r="A47" s="144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6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</row>
    <row r="54" ht="15.75" customHeight="1">
      <c r="A54" s="147" t="s">
        <v>543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48"/>
    </row>
    <row r="55" ht="15.75" customHeight="1">
      <c r="A55" s="142"/>
      <c r="L55" s="143"/>
    </row>
    <row r="56" ht="57.0" customHeight="1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6"/>
    </row>
    <row r="57" ht="37.5" customHeight="1"/>
    <row r="58" ht="15.75" customHeight="1"/>
    <row r="59" ht="15.75" customHeight="1"/>
    <row r="60" ht="15.75" customHeight="1">
      <c r="G60" s="149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2">
    <mergeCell ref="K27:L27"/>
    <mergeCell ref="K28:L28"/>
    <mergeCell ref="I23:J23"/>
    <mergeCell ref="I24:J24"/>
    <mergeCell ref="I25:J25"/>
    <mergeCell ref="K25:L25"/>
    <mergeCell ref="I26:J26"/>
    <mergeCell ref="K26:L26"/>
    <mergeCell ref="I27:J27"/>
    <mergeCell ref="B21:G22"/>
    <mergeCell ref="H21:H22"/>
    <mergeCell ref="I21:J22"/>
    <mergeCell ref="K21:L22"/>
    <mergeCell ref="B23:G23"/>
    <mergeCell ref="K23:L23"/>
    <mergeCell ref="K24:L24"/>
    <mergeCell ref="B24:G24"/>
    <mergeCell ref="B25:G25"/>
    <mergeCell ref="B26:G26"/>
    <mergeCell ref="B27:G27"/>
    <mergeCell ref="B28:G28"/>
    <mergeCell ref="I30:J30"/>
    <mergeCell ref="K30:L30"/>
    <mergeCell ref="E5:I5"/>
    <mergeCell ref="A7:B7"/>
    <mergeCell ref="C7:D7"/>
    <mergeCell ref="G7:H7"/>
    <mergeCell ref="I7:K7"/>
    <mergeCell ref="C8:D8"/>
    <mergeCell ref="G8:H8"/>
    <mergeCell ref="A8:B8"/>
    <mergeCell ref="A9:B9"/>
    <mergeCell ref="C9:D9"/>
    <mergeCell ref="G9:H9"/>
    <mergeCell ref="A10:B10"/>
    <mergeCell ref="C10:D10"/>
    <mergeCell ref="G10:H10"/>
    <mergeCell ref="G12:H12"/>
    <mergeCell ref="G13:H13"/>
    <mergeCell ref="G14:H14"/>
    <mergeCell ref="A11:B11"/>
    <mergeCell ref="C11:D11"/>
    <mergeCell ref="G11:H11"/>
    <mergeCell ref="I11:K11"/>
    <mergeCell ref="A12:B12"/>
    <mergeCell ref="C13:D13"/>
    <mergeCell ref="I13:K13"/>
    <mergeCell ref="A13:B13"/>
    <mergeCell ref="A14:B14"/>
    <mergeCell ref="C14:D14"/>
    <mergeCell ref="A15:C15"/>
    <mergeCell ref="A16:B16"/>
    <mergeCell ref="A17:B17"/>
    <mergeCell ref="A21:A22"/>
    <mergeCell ref="B30:D30"/>
    <mergeCell ref="B31:D31"/>
    <mergeCell ref="B32:D32"/>
    <mergeCell ref="B33:D33"/>
    <mergeCell ref="B34:D34"/>
    <mergeCell ref="B35:D35"/>
    <mergeCell ref="I34:J34"/>
    <mergeCell ref="I35:J35"/>
    <mergeCell ref="A42:L47"/>
    <mergeCell ref="A54:L56"/>
    <mergeCell ref="I31:J31"/>
    <mergeCell ref="K31:L31"/>
    <mergeCell ref="I32:J32"/>
    <mergeCell ref="K32:L32"/>
    <mergeCell ref="I33:J33"/>
    <mergeCell ref="K33:L33"/>
    <mergeCell ref="K34:L34"/>
    <mergeCell ref="K35:L35"/>
  </mergeCells>
  <conditionalFormatting sqref="C17">
    <cfRule type="notContainsBlanks" dxfId="3" priority="1">
      <formula>LEN(TRIM(C17))&gt;0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5.29"/>
    <col customWidth="1" min="3" max="3" width="19.14"/>
    <col customWidth="1" min="7" max="7" width="13.29"/>
  </cols>
  <sheetData>
    <row r="1" ht="15.0" customHeight="1">
      <c r="A1" s="60"/>
      <c r="B1" s="60"/>
      <c r="C1" s="60"/>
      <c r="D1" s="60"/>
      <c r="E1" s="60"/>
      <c r="F1" s="61"/>
      <c r="G1" s="61"/>
      <c r="H1" s="61"/>
      <c r="I1" s="62"/>
      <c r="J1" s="62"/>
      <c r="K1" s="62"/>
      <c r="L1" s="60"/>
    </row>
    <row r="2" ht="15.0" customHeight="1">
      <c r="A2" s="60"/>
      <c r="B2" s="60"/>
      <c r="D2" s="60"/>
      <c r="J2" s="60"/>
      <c r="K2" s="60"/>
      <c r="L2" s="60"/>
    </row>
    <row r="3" ht="84.0" customHeight="1">
      <c r="A3" s="63"/>
      <c r="B3" s="63"/>
      <c r="C3" s="63"/>
      <c r="D3" s="63"/>
      <c r="E3" s="63"/>
      <c r="F3" s="63"/>
      <c r="G3" s="63"/>
      <c r="H3" s="63"/>
      <c r="I3" s="60"/>
      <c r="J3" s="60"/>
      <c r="K3" s="60"/>
      <c r="L3" s="60"/>
    </row>
    <row r="4" ht="30.75" customHeight="1">
      <c r="A4" s="63"/>
      <c r="B4" s="64"/>
      <c r="C4" s="63"/>
      <c r="D4" s="63"/>
      <c r="E4" s="65"/>
      <c r="F4" s="65"/>
      <c r="G4" s="65"/>
      <c r="H4" s="63"/>
      <c r="I4" s="60"/>
      <c r="J4" s="60"/>
      <c r="K4" s="60"/>
      <c r="L4" s="60"/>
    </row>
    <row r="5" ht="31.5" customHeight="1">
      <c r="A5" s="63"/>
      <c r="B5" s="65"/>
      <c r="C5" s="66"/>
      <c r="D5" s="65"/>
      <c r="E5" s="67" t="s">
        <v>531</v>
      </c>
      <c r="F5" s="68"/>
      <c r="G5" s="68"/>
      <c r="H5" s="68"/>
      <c r="I5" s="69"/>
      <c r="J5" s="60"/>
      <c r="K5" s="70"/>
      <c r="L5" s="60"/>
    </row>
    <row r="6" ht="15.0" customHeight="1">
      <c r="A6" s="65"/>
      <c r="B6" s="65"/>
      <c r="C6" s="65"/>
      <c r="D6" s="65"/>
      <c r="E6" s="65"/>
      <c r="F6" s="65"/>
      <c r="G6" s="65"/>
      <c r="H6" s="65"/>
      <c r="I6" s="70"/>
      <c r="J6" s="60"/>
      <c r="K6" s="70"/>
      <c r="L6" s="60"/>
    </row>
    <row r="7" ht="15.0" customHeight="1">
      <c r="A7" s="71"/>
      <c r="B7" s="69"/>
      <c r="C7" s="71"/>
      <c r="D7" s="69"/>
      <c r="E7" s="65"/>
      <c r="F7" s="65"/>
      <c r="G7" s="71"/>
      <c r="H7" s="69"/>
      <c r="I7" s="71"/>
      <c r="J7" s="68"/>
      <c r="K7" s="69"/>
      <c r="L7" s="63"/>
    </row>
    <row r="8" ht="21.0" customHeight="1">
      <c r="A8" s="71"/>
      <c r="B8" s="69"/>
      <c r="C8" s="71"/>
      <c r="D8" s="69"/>
      <c r="E8" s="65"/>
      <c r="F8" s="65"/>
      <c r="G8" s="73" t="s">
        <v>533</v>
      </c>
      <c r="H8" s="69"/>
      <c r="I8" s="77" t="str">
        <f>VLOOKUP(C16,'Suivi Facturation 2020'!$A$5:$I$10004,2,FALSE)</f>
        <v>#N/A</v>
      </c>
      <c r="J8" s="68"/>
      <c r="K8" s="69"/>
      <c r="L8" s="63"/>
    </row>
    <row r="9" ht="24.75" customHeight="1">
      <c r="A9" s="71"/>
      <c r="B9" s="69"/>
      <c r="C9" s="71"/>
      <c r="D9" s="69"/>
      <c r="E9" s="65"/>
      <c r="F9" s="65"/>
      <c r="G9" s="73" t="s">
        <v>3</v>
      </c>
      <c r="H9" s="69"/>
      <c r="I9" s="77" t="str">
        <f>VLOOKUP(I8,'Suivi Client'!$C$2:$H$2000,3,FALSE) &amp;"  " &amp; VLOOKUP(I8,'Suivi Client'!$C$2:$H$2000,4,FALSE) &amp;"  " &amp; VLOOKUP(I8,'Suivi Client'!$C$2:$H$2000,5,FALSE)</f>
        <v>#N/A</v>
      </c>
      <c r="J9" s="68"/>
      <c r="K9" s="69"/>
      <c r="L9" s="63"/>
    </row>
    <row r="10" ht="15.0" customHeight="1">
      <c r="A10" s="71"/>
      <c r="B10" s="69"/>
      <c r="C10" s="71"/>
      <c r="D10" s="69"/>
      <c r="E10" s="65"/>
      <c r="F10" s="65"/>
      <c r="G10" s="77"/>
      <c r="H10" s="69"/>
      <c r="I10" s="77"/>
      <c r="J10" s="68"/>
      <c r="K10" s="69"/>
      <c r="L10" s="63"/>
    </row>
    <row r="11" ht="15.0" customHeight="1">
      <c r="A11" s="71"/>
      <c r="B11" s="69"/>
      <c r="C11" s="71"/>
      <c r="D11" s="69"/>
      <c r="E11" s="65"/>
      <c r="F11" s="65"/>
      <c r="G11" s="73"/>
      <c r="H11" s="69"/>
      <c r="I11" s="77"/>
      <c r="J11" s="68"/>
      <c r="K11" s="69"/>
      <c r="L11" s="63"/>
    </row>
    <row r="12">
      <c r="A12" s="71"/>
      <c r="B12" s="69"/>
      <c r="C12" s="65"/>
      <c r="D12" s="65"/>
      <c r="E12" s="65"/>
      <c r="F12" s="65"/>
      <c r="G12" s="73" t="s">
        <v>534</v>
      </c>
      <c r="H12" s="69"/>
      <c r="I12" s="79" t="str">
        <f>IF(VLOOKUP(I8,'Suivi Client'!$C$2:$H$2000,2,FALSE)=0,"",VLOOKUP(I8,'Suivi Client'!$C$2:$H$2000,2,FALSE))</f>
        <v>#N/A</v>
      </c>
      <c r="J12" s="80"/>
      <c r="K12" s="80"/>
      <c r="L12" s="63"/>
    </row>
    <row r="13">
      <c r="A13" s="81"/>
      <c r="B13" s="69"/>
      <c r="C13" s="81"/>
      <c r="D13" s="69"/>
      <c r="E13" s="65"/>
      <c r="F13" s="65"/>
      <c r="G13" s="71"/>
      <c r="H13" s="69"/>
      <c r="I13" s="71"/>
      <c r="J13" s="68"/>
      <c r="K13" s="69"/>
      <c r="L13" s="63"/>
    </row>
    <row r="14">
      <c r="A14" s="81"/>
      <c r="B14" s="69"/>
      <c r="C14" s="81"/>
      <c r="D14" s="69"/>
      <c r="E14" s="65"/>
      <c r="F14" s="65"/>
      <c r="G14" s="71"/>
      <c r="H14" s="69"/>
      <c r="I14" s="65"/>
      <c r="J14" s="63"/>
      <c r="K14" s="65"/>
      <c r="L14" s="63"/>
    </row>
    <row r="15">
      <c r="A15" s="150"/>
      <c r="B15" s="83"/>
      <c r="C15" s="84"/>
      <c r="D15" s="85"/>
      <c r="E15" s="65"/>
      <c r="F15" s="65"/>
      <c r="G15" s="65"/>
      <c r="H15" s="86"/>
      <c r="I15" s="87"/>
      <c r="J15" s="60"/>
      <c r="K15" s="70"/>
      <c r="L15" s="60"/>
    </row>
    <row r="16">
      <c r="A16" s="88" t="s">
        <v>544</v>
      </c>
      <c r="B16" s="89"/>
      <c r="C16" s="112">
        <v>45.0</v>
      </c>
      <c r="D16" s="85"/>
      <c r="E16" s="70"/>
      <c r="F16" s="70"/>
      <c r="G16" s="70"/>
      <c r="H16" s="87"/>
      <c r="I16" s="87"/>
      <c r="J16" s="60"/>
      <c r="K16" s="70"/>
      <c r="L16" s="60"/>
    </row>
    <row r="17">
      <c r="A17" s="91" t="s">
        <v>442</v>
      </c>
      <c r="B17" s="92"/>
      <c r="C17" s="158"/>
      <c r="D17" s="85"/>
      <c r="E17" s="70"/>
      <c r="F17" s="70"/>
      <c r="G17" s="70"/>
      <c r="H17" s="87"/>
      <c r="I17" s="87"/>
      <c r="J17" s="60"/>
      <c r="K17" s="70"/>
      <c r="L17" s="60"/>
    </row>
    <row r="18">
      <c r="A18" s="94"/>
      <c r="B18" s="94"/>
      <c r="C18" s="136"/>
      <c r="D18" s="60"/>
      <c r="E18" s="70"/>
      <c r="F18" s="70"/>
      <c r="G18" s="70"/>
      <c r="H18" s="87"/>
      <c r="I18" s="87"/>
      <c r="J18" s="60"/>
      <c r="K18" s="70"/>
      <c r="L18" s="60"/>
    </row>
    <row r="19">
      <c r="A19" s="87"/>
      <c r="B19" s="87"/>
      <c r="C19" s="60"/>
      <c r="D19" s="96"/>
      <c r="E19" s="63"/>
      <c r="F19" s="70"/>
      <c r="G19" s="70"/>
      <c r="H19" s="87"/>
      <c r="I19" s="87"/>
      <c r="J19" s="60"/>
      <c r="K19" s="70"/>
      <c r="L19" s="60"/>
    </row>
    <row r="20">
      <c r="A20" s="70"/>
      <c r="B20" s="97"/>
      <c r="C20" s="97"/>
      <c r="D20" s="97"/>
      <c r="E20" s="97"/>
      <c r="F20" s="97"/>
      <c r="G20" s="97"/>
      <c r="H20" s="70"/>
      <c r="I20" s="70"/>
      <c r="J20" s="70"/>
      <c r="K20" s="97"/>
      <c r="L20" s="60"/>
    </row>
    <row r="21" ht="15.75" customHeight="1">
      <c r="A21" s="98" t="s">
        <v>535</v>
      </c>
      <c r="B21" s="99" t="s">
        <v>536</v>
      </c>
      <c r="C21" s="100"/>
      <c r="D21" s="100"/>
      <c r="E21" s="100"/>
      <c r="F21" s="100"/>
      <c r="G21" s="101"/>
      <c r="H21" s="102" t="s">
        <v>537</v>
      </c>
      <c r="I21" s="103" t="s">
        <v>449</v>
      </c>
      <c r="J21" s="101"/>
      <c r="K21" s="103" t="s">
        <v>538</v>
      </c>
      <c r="L21" s="101"/>
    </row>
    <row r="22" ht="15.75" customHeight="1">
      <c r="A22" s="104"/>
      <c r="B22" s="105"/>
      <c r="C22" s="106"/>
      <c r="D22" s="106"/>
      <c r="E22" s="106"/>
      <c r="F22" s="106"/>
      <c r="G22" s="107"/>
      <c r="H22" s="104"/>
      <c r="I22" s="105"/>
      <c r="J22" s="107"/>
      <c r="K22" s="105"/>
      <c r="L22" s="107"/>
    </row>
    <row r="23" ht="15.75" customHeight="1">
      <c r="A23" s="108" t="str">
        <f>IF(VLOOKUP($C$16,'Suivi Facturation 2020'!$A$1:$I$104,3,FALSE)&gt;0,"0,75","")</f>
        <v>#N/A</v>
      </c>
      <c r="B23" s="109" t="str">
        <f>IF(VLOOKUP($C$16,'Suivi Facturation 2020'!$A$1:$I$104,3,FALSE)&gt;0,"Bouteille CHAMPAGNE SELECTION","")</f>
        <v>#N/A</v>
      </c>
      <c r="C23" s="110"/>
      <c r="D23" s="110"/>
      <c r="E23" s="110"/>
      <c r="F23" s="110"/>
      <c r="G23" s="111"/>
      <c r="H23" s="112" t="str">
        <f>IF(VLOOKUP($C$16,'Suivi Facturation 2020'!$A$1:$I$104,3,FALSE)&gt;0,VLOOKUP($C$16,'Suivi Facturation 2020'!$A$1:$I$104,3,FALSE),"")</f>
        <v>#N/A</v>
      </c>
      <c r="I23" s="113" t="str">
        <f>IF(VLOOKUP($C$16,'Suivi Facturation 2020'!$A$1:$I$104,3,FALSE)&gt;0,16,"")</f>
        <v>#N/A</v>
      </c>
      <c r="J23" s="114"/>
      <c r="K23" s="81" t="str">
        <f>IF(VLOOKUP($C$16,'Suivi Facturation 2020'!$A$1:$I$104,3,FALSE)&gt;0,I23*H23,"")</f>
        <v>#N/A</v>
      </c>
      <c r="L23" s="114"/>
    </row>
    <row r="24" ht="15.75" customHeight="1">
      <c r="A24" s="108" t="str">
        <f>IF(VLOOKUP($C$16,'Suivi Facturation 2020'!$A$1:$I$104,4,FALSE)&gt;0,"0,75","")</f>
        <v>#N/A</v>
      </c>
      <c r="B24" s="116" t="str">
        <f>IF(VLOOKUP($C$16,'Suivi Facturation 2020'!$A$1:$I$104,4,FALSE)&gt;0,"Bouteille CHAMPAGNE ROSE","")</f>
        <v>#N/A</v>
      </c>
      <c r="C24" s="68"/>
      <c r="D24" s="68"/>
      <c r="E24" s="68"/>
      <c r="F24" s="68"/>
      <c r="G24" s="114"/>
      <c r="H24" s="112" t="str">
        <f>IF(VLOOKUP($C$16,'Suivi Facturation 2020'!$A$1:$I$104,4,FALSE)&gt;0,VLOOKUP($C$16,'Suivi Facturation 2020'!$A$1:$I$104,4,FALSE),"")</f>
        <v>#N/A</v>
      </c>
      <c r="I24" s="113" t="str">
        <f>IF(VLOOKUP($C$16,'Suivi Facturation 2020'!$A$1:$I$104,4,FALSE)&gt;0,18,"")</f>
        <v>#N/A</v>
      </c>
      <c r="J24" s="114"/>
      <c r="K24" s="81" t="str">
        <f>IF(VLOOKUP($C$16,'Suivi Facturation 2020'!$A$1:$I$104,4,FALSE)&gt;0,I24*H24,"")</f>
        <v>#N/A</v>
      </c>
      <c r="L24" s="114"/>
    </row>
    <row r="25" ht="15.75" customHeight="1">
      <c r="A25" s="120"/>
      <c r="B25" s="81"/>
      <c r="C25" s="68"/>
      <c r="D25" s="69"/>
      <c r="E25" s="122"/>
      <c r="F25" s="122"/>
      <c r="G25" s="122"/>
      <c r="H25" s="123"/>
      <c r="I25" s="81"/>
      <c r="J25" s="114"/>
      <c r="K25" s="81"/>
      <c r="L25" s="114"/>
    </row>
    <row r="26" ht="15.75" customHeight="1">
      <c r="A26" s="120"/>
      <c r="B26" s="121"/>
      <c r="C26" s="121"/>
      <c r="D26" s="121"/>
      <c r="E26" s="122"/>
      <c r="F26" s="122"/>
      <c r="G26" s="122"/>
      <c r="H26" s="123"/>
      <c r="I26" s="122"/>
      <c r="J26" s="112"/>
      <c r="K26" s="122"/>
      <c r="L26" s="112"/>
    </row>
    <row r="27" ht="263.25" customHeight="1">
      <c r="A27" s="120"/>
      <c r="B27" s="121"/>
      <c r="C27" s="121"/>
      <c r="D27" s="121"/>
      <c r="E27" s="122"/>
      <c r="F27" s="122"/>
      <c r="G27" s="122"/>
      <c r="H27" s="123"/>
      <c r="I27" s="122"/>
      <c r="J27" s="112"/>
      <c r="K27" s="122"/>
      <c r="L27" s="112"/>
    </row>
    <row r="28" ht="49.5" customHeight="1">
      <c r="A28" s="124"/>
      <c r="B28" s="71"/>
      <c r="C28" s="68"/>
      <c r="D28" s="69"/>
      <c r="E28" s="126"/>
      <c r="F28" s="126"/>
      <c r="G28" s="126"/>
      <c r="H28" s="127"/>
      <c r="I28" s="71"/>
      <c r="J28" s="114"/>
      <c r="K28" s="71"/>
      <c r="L28" s="114"/>
    </row>
    <row r="29" ht="15.75" customHeight="1">
      <c r="A29" s="124"/>
      <c r="B29" s="71"/>
      <c r="C29" s="68"/>
      <c r="D29" s="69"/>
      <c r="E29" s="126"/>
      <c r="F29" s="126"/>
      <c r="G29" s="126"/>
      <c r="H29" s="127"/>
      <c r="I29" s="71"/>
      <c r="J29" s="114"/>
      <c r="K29" s="71"/>
      <c r="L29" s="114"/>
    </row>
    <row r="30" ht="15.75" customHeight="1">
      <c r="A30" s="124"/>
      <c r="B30" s="71"/>
      <c r="C30" s="68"/>
      <c r="D30" s="69"/>
      <c r="E30" s="126"/>
      <c r="F30" s="126"/>
      <c r="G30" s="126"/>
      <c r="H30" s="127"/>
      <c r="I30" s="71"/>
      <c r="J30" s="114"/>
      <c r="K30" s="71"/>
      <c r="L30" s="114"/>
    </row>
    <row r="31" ht="15.75" customHeight="1">
      <c r="A31" s="124"/>
      <c r="B31" s="71"/>
      <c r="C31" s="68"/>
      <c r="D31" s="69"/>
      <c r="E31" s="126"/>
      <c r="F31" s="126"/>
      <c r="G31" s="126"/>
      <c r="H31" s="127"/>
      <c r="I31" s="71"/>
      <c r="J31" s="114"/>
      <c r="K31" s="71"/>
      <c r="L31" s="114"/>
    </row>
    <row r="32" ht="15.75" customHeight="1">
      <c r="A32" s="124"/>
      <c r="B32" s="71"/>
      <c r="C32" s="68"/>
      <c r="D32" s="69"/>
      <c r="E32" s="126"/>
      <c r="F32" s="126"/>
      <c r="G32" s="126"/>
      <c r="H32" s="127"/>
      <c r="I32" s="71"/>
      <c r="J32" s="114"/>
      <c r="K32" s="71"/>
      <c r="L32" s="114"/>
    </row>
    <row r="33" ht="15.75" customHeight="1">
      <c r="A33" s="128"/>
      <c r="B33" s="129"/>
      <c r="C33" s="130"/>
      <c r="D33" s="92"/>
      <c r="E33" s="131"/>
      <c r="F33" s="131"/>
      <c r="G33" s="131"/>
      <c r="H33" s="132"/>
      <c r="I33" s="129"/>
      <c r="J33" s="133"/>
      <c r="K33" s="129"/>
      <c r="L33" s="133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</row>
    <row r="35" ht="15.75" customHeight="1">
      <c r="A35" s="70"/>
      <c r="B35" s="70"/>
      <c r="C35" s="70"/>
      <c r="D35" s="70"/>
      <c r="E35" s="70"/>
      <c r="F35" s="70"/>
      <c r="G35" s="70"/>
      <c r="H35" s="60"/>
      <c r="I35" s="60"/>
      <c r="J35" s="60"/>
      <c r="K35" s="134" t="s">
        <v>539</v>
      </c>
      <c r="L35" s="135" t="str">
        <f>SUM(K23:L24)-L36</f>
        <v>#N/A</v>
      </c>
    </row>
    <row r="36" ht="15.75" customHeight="1">
      <c r="A36" s="70"/>
      <c r="B36" s="70"/>
      <c r="C36" s="70"/>
      <c r="D36" s="70"/>
      <c r="E36" s="70"/>
      <c r="F36" s="70"/>
      <c r="G36" s="70"/>
      <c r="H36" s="60"/>
      <c r="I36" s="60"/>
      <c r="J36" s="60"/>
      <c r="K36" s="134" t="s">
        <v>540</v>
      </c>
      <c r="L36" s="135" t="str">
        <f>IFERROR(SUM(K23:L24)-SUM(K23:L24)/1.2,"")</f>
        <v/>
      </c>
    </row>
    <row r="37" ht="15.75" customHeight="1">
      <c r="A37" s="70"/>
      <c r="B37" s="70"/>
      <c r="C37" s="70"/>
      <c r="D37" s="70"/>
      <c r="E37" s="70"/>
      <c r="F37" s="70"/>
      <c r="G37" s="70"/>
      <c r="H37" s="60"/>
      <c r="I37" s="60"/>
      <c r="J37" s="60"/>
      <c r="K37" s="134"/>
      <c r="L37" s="136"/>
    </row>
    <row r="38" ht="15.75" customHeight="1">
      <c r="A38" s="70"/>
      <c r="B38" s="70"/>
      <c r="C38" s="70"/>
      <c r="D38" s="70"/>
      <c r="E38" s="70"/>
      <c r="F38" s="70"/>
      <c r="G38" s="70"/>
      <c r="H38" s="60"/>
      <c r="I38" s="60"/>
      <c r="J38" s="60"/>
      <c r="K38" s="134" t="s">
        <v>541</v>
      </c>
      <c r="L38" s="137" t="str">
        <f>SUM(K23:L24)</f>
        <v>#N/A</v>
      </c>
    </row>
    <row r="39" ht="15.75" customHeight="1">
      <c r="A39" s="70"/>
      <c r="B39" s="70"/>
      <c r="C39" s="70"/>
      <c r="D39" s="70"/>
      <c r="E39" s="70"/>
      <c r="F39" s="70"/>
      <c r="G39" s="70"/>
      <c r="H39" s="60"/>
      <c r="I39" s="60"/>
      <c r="J39" s="60"/>
      <c r="K39" s="60"/>
      <c r="L39" s="60"/>
    </row>
    <row r="40" ht="15.75" customHeight="1">
      <c r="A40" s="139" t="s">
        <v>542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1"/>
    </row>
    <row r="41" ht="15.75" customHeight="1">
      <c r="A41" s="142"/>
      <c r="L41" s="143"/>
    </row>
    <row r="42" ht="15.75" customHeight="1">
      <c r="A42" s="142"/>
      <c r="L42" s="143"/>
    </row>
    <row r="43" ht="15.75" customHeight="1">
      <c r="A43" s="142"/>
      <c r="L43" s="143"/>
    </row>
    <row r="44" ht="64.5" customHeight="1">
      <c r="A44" s="142"/>
      <c r="L44" s="143"/>
    </row>
    <row r="45" ht="15.75" hidden="1" customHeight="1">
      <c r="A45" s="144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6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ht="15.75" customHeight="1">
      <c r="A52" s="147" t="s">
        <v>543</v>
      </c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48"/>
    </row>
    <row r="53" ht="15.75" customHeight="1">
      <c r="A53" s="142"/>
      <c r="L53" s="143"/>
    </row>
    <row r="54" ht="57.0" customHeight="1">
      <c r="A54" s="144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6"/>
    </row>
    <row r="55" ht="37.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A15:C15"/>
    <mergeCell ref="A16:B16"/>
    <mergeCell ref="A17:B17"/>
    <mergeCell ref="A21:A22"/>
    <mergeCell ref="H21:H22"/>
    <mergeCell ref="I21:J22"/>
    <mergeCell ref="K21:L22"/>
    <mergeCell ref="B21:G22"/>
    <mergeCell ref="B23:G23"/>
    <mergeCell ref="I23:J23"/>
    <mergeCell ref="K23:L23"/>
    <mergeCell ref="B24:G24"/>
    <mergeCell ref="K24:L24"/>
    <mergeCell ref="K25:L25"/>
    <mergeCell ref="I30:J30"/>
    <mergeCell ref="I31:J31"/>
    <mergeCell ref="I32:J32"/>
    <mergeCell ref="I24:J24"/>
    <mergeCell ref="I25:J25"/>
    <mergeCell ref="I28:J28"/>
    <mergeCell ref="K28:L28"/>
    <mergeCell ref="I29:J29"/>
    <mergeCell ref="K29:L29"/>
    <mergeCell ref="K30:L30"/>
    <mergeCell ref="G8:H8"/>
    <mergeCell ref="I8:K8"/>
    <mergeCell ref="E5:I5"/>
    <mergeCell ref="A7:B7"/>
    <mergeCell ref="C7:D7"/>
    <mergeCell ref="G7:H7"/>
    <mergeCell ref="I7:K7"/>
    <mergeCell ref="A8:B8"/>
    <mergeCell ref="C8:D8"/>
    <mergeCell ref="A9:B9"/>
    <mergeCell ref="C9:D9"/>
    <mergeCell ref="G9:H9"/>
    <mergeCell ref="I9:K9"/>
    <mergeCell ref="C10:D10"/>
    <mergeCell ref="G10:H10"/>
    <mergeCell ref="I10:K10"/>
    <mergeCell ref="A10:B10"/>
    <mergeCell ref="A11:B11"/>
    <mergeCell ref="C11:D11"/>
    <mergeCell ref="G11:H11"/>
    <mergeCell ref="I11:K11"/>
    <mergeCell ref="A12:B12"/>
    <mergeCell ref="G12:H12"/>
    <mergeCell ref="A13:B13"/>
    <mergeCell ref="C13:D13"/>
    <mergeCell ref="G13:H13"/>
    <mergeCell ref="I13:K13"/>
    <mergeCell ref="A14:B14"/>
    <mergeCell ref="C14:D14"/>
    <mergeCell ref="G14:H14"/>
    <mergeCell ref="B25:D25"/>
    <mergeCell ref="B28:D28"/>
    <mergeCell ref="B29:D29"/>
    <mergeCell ref="B30:D30"/>
    <mergeCell ref="B31:D31"/>
    <mergeCell ref="B32:D32"/>
    <mergeCell ref="B33:D33"/>
    <mergeCell ref="K31:L31"/>
    <mergeCell ref="K32:L32"/>
    <mergeCell ref="I33:J33"/>
    <mergeCell ref="K33:L33"/>
    <mergeCell ref="A40:L45"/>
    <mergeCell ref="A52:L54"/>
  </mergeCells>
  <printOptions/>
  <pageMargins bottom="0.75" footer="0.0" header="0.0" left="0.25" right="0.25" top="0.75"/>
  <pageSetup paperSize="9" scale="5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43"/>
    <col customWidth="1" min="2" max="2" width="15.29"/>
    <col customWidth="1" min="3" max="3" width="19.14"/>
    <col customWidth="1" min="7" max="7" width="13.29"/>
  </cols>
  <sheetData>
    <row r="1" ht="15.0" customHeight="1">
      <c r="A1" s="60"/>
      <c r="B1" s="60"/>
      <c r="C1" s="60"/>
      <c r="D1" s="60"/>
      <c r="E1" s="60"/>
      <c r="F1" s="61"/>
      <c r="G1" s="61"/>
      <c r="H1" s="61"/>
      <c r="I1" s="62"/>
      <c r="J1" s="62"/>
      <c r="K1" s="62"/>
      <c r="L1" s="60"/>
    </row>
    <row r="2" ht="15.0" customHeight="1">
      <c r="A2" s="60"/>
      <c r="B2" s="60"/>
      <c r="D2" s="60"/>
      <c r="J2" s="60"/>
      <c r="K2" s="60"/>
      <c r="L2" s="60"/>
    </row>
    <row r="3" ht="84.0" customHeight="1">
      <c r="A3" s="63"/>
      <c r="B3" s="63"/>
      <c r="C3" s="63"/>
      <c r="D3" s="63"/>
      <c r="E3" s="63"/>
      <c r="F3" s="63"/>
      <c r="G3" s="63"/>
      <c r="H3" s="63"/>
      <c r="I3" s="60"/>
      <c r="J3" s="60"/>
      <c r="K3" s="60"/>
      <c r="L3" s="60"/>
    </row>
    <row r="4" ht="30.75" customHeight="1">
      <c r="A4" s="63"/>
      <c r="B4" s="64"/>
      <c r="C4" s="63"/>
      <c r="D4" s="63"/>
      <c r="E4" s="65"/>
      <c r="F4" s="65"/>
      <c r="G4" s="65"/>
      <c r="H4" s="63"/>
      <c r="I4" s="60"/>
      <c r="J4" s="60"/>
      <c r="K4" s="60"/>
      <c r="L4" s="60"/>
    </row>
    <row r="5" ht="31.5" customHeight="1">
      <c r="A5" s="63"/>
      <c r="B5" s="65"/>
      <c r="C5" s="66"/>
      <c r="D5" s="65"/>
      <c r="E5" s="67" t="s">
        <v>531</v>
      </c>
      <c r="F5" s="68"/>
      <c r="G5" s="68"/>
      <c r="H5" s="68"/>
      <c r="I5" s="69"/>
      <c r="J5" s="60"/>
      <c r="K5" s="70"/>
      <c r="L5" s="60"/>
    </row>
    <row r="6" ht="15.0" customHeight="1">
      <c r="A6" s="65"/>
      <c r="B6" s="65"/>
      <c r="C6" s="65"/>
      <c r="D6" s="65"/>
      <c r="E6" s="65"/>
      <c r="F6" s="65"/>
      <c r="G6" s="65"/>
      <c r="H6" s="65"/>
      <c r="I6" s="70"/>
      <c r="J6" s="60"/>
      <c r="K6" s="70"/>
      <c r="L6" s="60"/>
    </row>
    <row r="7" ht="15.0" customHeight="1">
      <c r="A7" s="71"/>
      <c r="B7" s="69"/>
      <c r="C7" s="71"/>
      <c r="D7" s="69"/>
      <c r="E7" s="65"/>
      <c r="F7" s="65"/>
      <c r="G7" s="71"/>
      <c r="H7" s="69"/>
      <c r="I7" s="71"/>
      <c r="J7" s="68"/>
      <c r="K7" s="69"/>
      <c r="L7" s="63"/>
    </row>
    <row r="8" ht="21.0" customHeight="1">
      <c r="A8" s="71"/>
      <c r="B8" s="69"/>
      <c r="C8" s="71"/>
      <c r="D8" s="69"/>
      <c r="E8" s="65"/>
      <c r="F8" s="65"/>
      <c r="G8" s="73" t="s">
        <v>533</v>
      </c>
      <c r="H8" s="69"/>
      <c r="I8" s="74" t="str">
        <f>VLOOKUP(C16,'Suivi Facturation 2025'!$A$1:$K$10002,2,FALSE)</f>
        <v>PAOLA ZICCA</v>
      </c>
      <c r="J8" s="75"/>
      <c r="K8" s="76"/>
    </row>
    <row r="9" ht="24.75" customHeight="1">
      <c r="A9" s="71"/>
      <c r="B9" s="69"/>
      <c r="C9" s="71"/>
      <c r="D9" s="69"/>
      <c r="E9" s="65"/>
      <c r="F9" s="65"/>
      <c r="G9" s="73" t="s">
        <v>3</v>
      </c>
      <c r="H9" s="69"/>
      <c r="I9" s="74" t="str">
        <f>VLOOKUP(I8,'Suivi Client'!C2:H2960,3,FALSE)</f>
        <v>VIA GIALETTO</v>
      </c>
      <c r="J9" s="63"/>
      <c r="K9" s="63"/>
      <c r="L9" s="63"/>
    </row>
    <row r="10" ht="19.5" customHeight="1">
      <c r="A10" s="71"/>
      <c r="B10" s="69"/>
      <c r="C10" s="71"/>
      <c r="D10" s="69"/>
      <c r="E10" s="65"/>
      <c r="F10" s="65"/>
      <c r="G10" s="77"/>
      <c r="H10" s="69"/>
      <c r="I10" s="77">
        <f>VLOOKUP(I8,'Suivi Client'!C2:H2960,4,FALSE)</f>
        <v>9100</v>
      </c>
      <c r="J10" s="75" t="str">
        <f>VLOOKUP(I8,'Suivi Client'!C2:H2960,5,FALSE)</f>
        <v>NUORO SARDEGNA</v>
      </c>
      <c r="K10" s="78"/>
      <c r="L10" s="63"/>
    </row>
    <row r="11" ht="15.0" customHeight="1">
      <c r="A11" s="71"/>
      <c r="B11" s="69"/>
      <c r="C11" s="71"/>
      <c r="D11" s="69"/>
      <c r="E11" s="65"/>
      <c r="F11" s="65"/>
      <c r="G11" s="73"/>
      <c r="H11" s="69"/>
      <c r="I11" s="77"/>
      <c r="J11" s="68"/>
      <c r="K11" s="69"/>
      <c r="L11" s="63"/>
    </row>
    <row r="12">
      <c r="A12" s="71"/>
      <c r="B12" s="69"/>
      <c r="C12" s="65"/>
      <c r="D12" s="65"/>
      <c r="E12" s="65"/>
      <c r="F12" s="65"/>
      <c r="G12" s="73" t="s">
        <v>534</v>
      </c>
      <c r="H12" s="69"/>
      <c r="I12" s="79" t="str">
        <f>IF(VLOOKUP(I8,'Suivi Client'!$C$2:$H$2000,2,FALSE)=0,"",VLOOKUP(I8,'Suivi Client'!$C$2:$H$2000,2,FALSE))</f>
        <v/>
      </c>
      <c r="J12" s="80"/>
      <c r="K12" s="80"/>
      <c r="L12" s="63"/>
    </row>
    <row r="13">
      <c r="A13" s="81"/>
      <c r="B13" s="69"/>
      <c r="C13" s="81"/>
      <c r="D13" s="69"/>
      <c r="E13" s="65"/>
      <c r="F13" s="65"/>
      <c r="G13" s="71"/>
      <c r="H13" s="69"/>
      <c r="I13" s="71"/>
      <c r="J13" s="68"/>
      <c r="K13" s="69"/>
      <c r="L13" s="63"/>
    </row>
    <row r="14">
      <c r="A14" s="81"/>
      <c r="B14" s="69"/>
      <c r="C14" s="81"/>
      <c r="D14" s="69"/>
      <c r="E14" s="65"/>
      <c r="F14" s="65"/>
      <c r="G14" s="71"/>
      <c r="H14" s="69"/>
      <c r="I14" s="65"/>
      <c r="J14" s="63"/>
      <c r="K14" s="65"/>
      <c r="L14" s="63"/>
    </row>
    <row r="15">
      <c r="A15" s="150"/>
      <c r="B15" s="83"/>
      <c r="C15" s="84"/>
      <c r="D15" s="85"/>
      <c r="E15" s="65"/>
      <c r="F15" s="65"/>
      <c r="G15" s="65"/>
      <c r="H15" s="86"/>
      <c r="I15" s="87"/>
      <c r="J15" s="60"/>
      <c r="K15" s="70"/>
      <c r="L15" s="60"/>
    </row>
    <row r="16">
      <c r="A16" s="88" t="s">
        <v>544</v>
      </c>
      <c r="B16" s="89"/>
      <c r="C16" s="90">
        <v>37.0</v>
      </c>
      <c r="D16" s="85"/>
      <c r="E16" s="70"/>
      <c r="F16" s="70"/>
      <c r="G16" s="70"/>
      <c r="H16" s="87"/>
      <c r="I16" s="87"/>
      <c r="J16" s="60"/>
      <c r="K16" s="70"/>
      <c r="L16" s="60"/>
    </row>
    <row r="17">
      <c r="A17" s="91" t="s">
        <v>442</v>
      </c>
      <c r="B17" s="92"/>
      <c r="C17" s="151">
        <v>45613.0</v>
      </c>
      <c r="D17" s="85"/>
      <c r="E17" s="70"/>
      <c r="F17" s="70"/>
      <c r="G17" s="70"/>
      <c r="H17" s="87"/>
      <c r="I17" s="87"/>
      <c r="J17" s="60"/>
      <c r="K17" s="70"/>
      <c r="L17" s="60"/>
    </row>
    <row r="18">
      <c r="A18" s="94"/>
      <c r="B18" s="94"/>
      <c r="C18" s="152"/>
      <c r="D18" s="60"/>
      <c r="E18" s="70"/>
      <c r="F18" s="70"/>
      <c r="G18" s="70"/>
      <c r="H18" s="87"/>
      <c r="I18" s="87"/>
      <c r="J18" s="60"/>
      <c r="K18" s="70"/>
      <c r="L18" s="60"/>
    </row>
    <row r="19">
      <c r="A19" s="87"/>
      <c r="B19" s="87"/>
      <c r="C19" s="60"/>
      <c r="D19" s="96"/>
      <c r="E19" s="63"/>
      <c r="F19" s="70"/>
      <c r="G19" s="70"/>
      <c r="H19" s="87"/>
      <c r="I19" s="87"/>
      <c r="J19" s="60"/>
      <c r="K19" s="70"/>
      <c r="L19" s="60"/>
    </row>
    <row r="20">
      <c r="A20" s="70"/>
      <c r="B20" s="97"/>
      <c r="C20" s="97"/>
      <c r="D20" s="97"/>
      <c r="E20" s="97"/>
      <c r="F20" s="97"/>
      <c r="G20" s="97"/>
      <c r="H20" s="70"/>
      <c r="I20" s="70"/>
      <c r="J20" s="70"/>
      <c r="K20" s="97"/>
      <c r="L20" s="60"/>
    </row>
    <row r="21" ht="15.75" customHeight="1">
      <c r="A21" s="98" t="s">
        <v>535</v>
      </c>
      <c r="B21" s="99" t="s">
        <v>536</v>
      </c>
      <c r="C21" s="100"/>
      <c r="D21" s="100"/>
      <c r="E21" s="100"/>
      <c r="F21" s="100"/>
      <c r="G21" s="101"/>
      <c r="H21" s="102" t="s">
        <v>537</v>
      </c>
      <c r="I21" s="153" t="s">
        <v>545</v>
      </c>
      <c r="J21" s="101"/>
      <c r="K21" s="153" t="s">
        <v>441</v>
      </c>
      <c r="L21" s="101"/>
    </row>
    <row r="22" ht="15.75" customHeight="1">
      <c r="A22" s="104"/>
      <c r="B22" s="105"/>
      <c r="C22" s="106"/>
      <c r="D22" s="106"/>
      <c r="E22" s="106"/>
      <c r="F22" s="106"/>
      <c r="G22" s="107"/>
      <c r="H22" s="104"/>
      <c r="I22" s="105"/>
      <c r="J22" s="107"/>
      <c r="K22" s="105"/>
      <c r="L22" s="107"/>
    </row>
    <row r="23" ht="15.75" customHeight="1">
      <c r="A23" s="108" t="str">
        <f>IF(VLOOKUP($C$16,'Suivi Facturation 2025'!$A$2:$M$1096,3,FALSE)&gt;0,"0,75","")</f>
        <v>0,75</v>
      </c>
      <c r="B23" s="109" t="str">
        <f>IF(VLOOKUP($C$16,'Suivi Facturation 2025'!$A$2:$M$978,3,FALSE)&gt;0,"Bouteille CHAMPAGNE SELECTION","")</f>
        <v>Bouteille CHAMPAGNE SELECTION</v>
      </c>
      <c r="C23" s="110"/>
      <c r="D23" s="110"/>
      <c r="E23" s="110"/>
      <c r="F23" s="110"/>
      <c r="G23" s="111"/>
      <c r="H23" s="112">
        <f>IF(VLOOKUP($C$16,'Suivi Facturation 2025'!$A$2:$M$1096,3,FALSE)&gt;0,VLOOKUP($C$16,'Suivi Facturation 2025'!$A$2:$M$1096,3,FALSE),"")</f>
        <v>6</v>
      </c>
      <c r="I23" s="113">
        <f>IF(VLOOKUP($C$16,'Suivi Facturation 2025'!$A$2:$M$1096,3,FALSE)&gt;0,'Suivi Facturation 2025'!S2,"")</f>
        <v>17</v>
      </c>
      <c r="J23" s="114"/>
      <c r="K23" s="115">
        <f>IF(VLOOKUP($C$16,'Suivi Facturation 2025'!$A$2:$M$1096,3,FALSE)&gt;0,I23*H23,"")</f>
        <v>102</v>
      </c>
      <c r="L23" s="114"/>
    </row>
    <row r="24" ht="15.75" customHeight="1">
      <c r="A24" s="108" t="str">
        <f>IF(VLOOKUP($C$16,'Suivi Facturation 2025'!$A$2:$M$1096,4,FALSE)&gt;0,"0,75","")</f>
        <v>0,75</v>
      </c>
      <c r="B24" s="116" t="str">
        <f>IF(VLOOKUP($C$16,'Suivi Facturation 2025'!$A$2:$M$978,4,FALSE)&gt;0,"Bouteille CHAMPAGNE ROSE","")</f>
        <v>Bouteille CHAMPAGNE ROSE</v>
      </c>
      <c r="C24" s="68"/>
      <c r="D24" s="68"/>
      <c r="E24" s="68"/>
      <c r="F24" s="68"/>
      <c r="G24" s="114"/>
      <c r="H24" s="112">
        <f>IF(VLOOKUP($C$16,'Suivi Facturation 2025'!$A$2:$M$1096,4,FALSE)&gt;0,VLOOKUP($C$16,'Suivi Facturation 2025'!$A$2:$M$1096,4,FALSE),"")</f>
        <v>6</v>
      </c>
      <c r="I24" s="113">
        <f>IF(VLOOKUP($C$16,'Suivi Facturation 2025'!$A$2:$M$1096,4,FALSE)&gt;0,'Suivi Facturation 2025'!S3,"")</f>
        <v>19</v>
      </c>
      <c r="J24" s="114"/>
      <c r="K24" s="117">
        <f>IF(VLOOKUP($C$16,'Suivi Facturation 2025'!$A$2:$M$1096,4,FALSE)&gt;0,I24*H24,"")</f>
        <v>114</v>
      </c>
      <c r="L24" s="114"/>
    </row>
    <row r="25" ht="15.75" customHeight="1">
      <c r="A25" s="108" t="str">
        <f>IF(VLOOKUP($C$16,'Suivi Facturation 2025'!$A$2:$M$1096,5,FALSE)&gt;0,"0,75","")</f>
        <v>0,75</v>
      </c>
      <c r="B25" s="116" t="str">
        <f>IF(VLOOKUP($C$16,'Suivi Facturation 2025'!$A$2:$M$978,5,FALSE)&gt;0,"Bouteille CHAMPAGNE BLANC DE BLANC","")</f>
        <v>Bouteille CHAMPAGNE BLANC DE BLANC</v>
      </c>
      <c r="C25" s="68"/>
      <c r="D25" s="68"/>
      <c r="E25" s="68"/>
      <c r="F25" s="68"/>
      <c r="G25" s="114"/>
      <c r="H25" s="112">
        <f>IF(VLOOKUP($C$16,'Suivi Facturation 2025'!$A$2:$M$1996,5,FALSE)&gt;0,VLOOKUP($C$16,'Suivi Facturation 2025'!$A$2:$M$1996,5,FALSE),"")</f>
        <v>24</v>
      </c>
      <c r="I25" s="113">
        <f>IF(VLOOKUP($C$16,'Suivi Facturation 2025'!$A$2:$M$1096,5,FALSE)&gt;0,'Suivi Facturation 2025'!S4,"")</f>
        <v>18.5</v>
      </c>
      <c r="J25" s="114"/>
      <c r="K25" s="81">
        <f>IF(VLOOKUP($C$16,'Suivi Facturation 2025'!$A$2:$M$1096,5,FALSE)&gt;0,I25*H25,"")</f>
        <v>444</v>
      </c>
      <c r="L25" s="114"/>
    </row>
    <row r="26" ht="15.75" customHeight="1">
      <c r="A26" s="108" t="str">
        <f>IF(VLOOKUP($C$16,'Suivi Facturation 2025'!$A$2:$M$1096,6,FALSE)&gt;0,"0,75","")</f>
        <v/>
      </c>
      <c r="B26" s="116" t="str">
        <f>IF(VLOOKUP($C$16,'Suivi Facturation 2025'!$A$2:$M$1096,6,FALSE)&gt;0,"Bouteille CHAMPAGNE PRESTIGE","")</f>
        <v/>
      </c>
      <c r="C26" s="68"/>
      <c r="D26" s="68"/>
      <c r="E26" s="68"/>
      <c r="F26" s="68"/>
      <c r="G26" s="114"/>
      <c r="H26" s="112" t="str">
        <f>IF(VLOOKUP($C$16,'Suivi Facturation 2025'!$A$2:$M$1096,6,FALSE)&gt;0,VLOOKUP($C$16,'Suivi Facturation 2025'!$A$2:$M$1096,6,FALSE),"")</f>
        <v/>
      </c>
      <c r="I26" s="113" t="str">
        <f>IF(VLOOKUP($C$16,'Suivi Facturation 2025'!$A$2:$M$1096,6,FALSE)&gt;0,'Suivi Facturation 2025'!S5,"")</f>
        <v/>
      </c>
      <c r="J26" s="114"/>
      <c r="K26" s="81" t="str">
        <f>IF(VLOOKUP($C$16,'Suivi Facturation 2025'!$A$2:$M$1096,6,FALSE)&gt;0,I26*H26,"")</f>
        <v/>
      </c>
      <c r="L26" s="114"/>
    </row>
    <row r="27" ht="15.75" customHeight="1">
      <c r="A27" s="108" t="str">
        <f>IF(VLOOKUP($C$16,'Suivi Facturation 2025'!$A$2:$M$1096,7,FALSE)&gt;0,"1,5","")</f>
        <v/>
      </c>
      <c r="B27" s="116" t="str">
        <f>IF(VLOOKUP($C$16,'Suivi Facturation 2025'!$A$2:$M$1096,7,FALSE)&gt;0,"MAGNUM SELECTION","")</f>
        <v/>
      </c>
      <c r="C27" s="68"/>
      <c r="D27" s="68"/>
      <c r="E27" s="68"/>
      <c r="F27" s="68"/>
      <c r="G27" s="114"/>
      <c r="H27" s="154"/>
      <c r="I27" s="113" t="str">
        <f>IF(VLOOKUP($C$16,'Suivi Facturation 2025'!$A$2:$M$1096,7,FALSE)&gt;0,'Suivi Facturation 2025'!S6,"")</f>
        <v/>
      </c>
      <c r="J27" s="114"/>
      <c r="K27" s="81" t="str">
        <f>IF(VLOOKUP($C$16,'Suivi Facturation 2025'!$A$2:$M$1096,7,FALSE)&gt;0,I27*H27,"")</f>
        <v/>
      </c>
      <c r="L27" s="114"/>
    </row>
    <row r="28" ht="15.75" customHeight="1">
      <c r="B28" s="116" t="str">
        <f>IF(VLOOKUP($C$16,'Suivi Facturation 2025'!$A$2:$P$1978,14,FALSE)&gt;0,"PRIX LIVRAISON","")</f>
        <v>PRIX LIVRAISON</v>
      </c>
      <c r="C28" s="68"/>
      <c r="D28" s="68"/>
      <c r="E28" s="68"/>
      <c r="F28" s="68"/>
      <c r="G28" s="114"/>
      <c r="H28" s="118"/>
      <c r="K28" s="119" t="str">
        <f>IF(VLOOKUP($C$16,'Suivi Facturation 2025'!$A$2:$P$1978,14,FALSE)&gt;0,VLOOKUP($C$16,'Suivi Facturation 2025'!$A$2:$P$1978,14,FALSE),"")</f>
        <v>ESPECE/ITALIE</v>
      </c>
      <c r="L28" s="114"/>
    </row>
    <row r="29" ht="90.75" customHeight="1">
      <c r="A29" s="120"/>
      <c r="B29" s="121"/>
      <c r="C29" s="121"/>
      <c r="D29" s="121"/>
      <c r="E29" s="122"/>
      <c r="F29" s="122"/>
      <c r="G29" s="122"/>
      <c r="H29" s="123"/>
      <c r="I29" s="122"/>
      <c r="J29" s="112"/>
      <c r="K29" s="122"/>
      <c r="L29" s="112"/>
    </row>
    <row r="30" ht="49.5" customHeight="1">
      <c r="A30" s="124"/>
      <c r="B30" s="71"/>
      <c r="C30" s="68"/>
      <c r="D30" s="69"/>
      <c r="E30" s="126"/>
      <c r="F30" s="126"/>
      <c r="G30" s="126"/>
      <c r="H30" s="127"/>
      <c r="I30" s="71"/>
      <c r="J30" s="114"/>
      <c r="K30" s="71"/>
      <c r="L30" s="114"/>
    </row>
    <row r="31" ht="15.75" customHeight="1">
      <c r="A31" s="124"/>
      <c r="B31" s="71"/>
      <c r="C31" s="68"/>
      <c r="D31" s="69"/>
      <c r="E31" s="126"/>
      <c r="F31" s="126"/>
      <c r="G31" s="126"/>
      <c r="H31" s="127"/>
      <c r="I31" s="71"/>
      <c r="J31" s="114"/>
      <c r="K31" s="71"/>
      <c r="L31" s="114"/>
    </row>
    <row r="32" ht="27.75" customHeight="1">
      <c r="A32" s="124"/>
      <c r="B32" s="71"/>
      <c r="C32" s="68"/>
      <c r="D32" s="69"/>
      <c r="E32" s="126"/>
      <c r="F32" s="126"/>
      <c r="G32" s="126"/>
      <c r="H32" s="127"/>
      <c r="I32" s="71"/>
      <c r="J32" s="114"/>
      <c r="K32" s="71"/>
      <c r="L32" s="114"/>
    </row>
    <row r="33" ht="15.75" customHeight="1">
      <c r="A33" s="124"/>
      <c r="B33" s="71"/>
      <c r="C33" s="68"/>
      <c r="D33" s="69"/>
      <c r="E33" s="126"/>
      <c r="F33" s="126"/>
      <c r="G33" s="126"/>
      <c r="H33" s="127"/>
      <c r="I33" s="71"/>
      <c r="J33" s="114"/>
      <c r="K33" s="71"/>
      <c r="L33" s="114"/>
    </row>
    <row r="34" ht="15.75" customHeight="1">
      <c r="A34" s="124"/>
      <c r="B34" s="71"/>
      <c r="C34" s="68"/>
      <c r="D34" s="69"/>
      <c r="E34" s="126"/>
      <c r="F34" s="126"/>
      <c r="G34" s="126"/>
      <c r="H34" s="127"/>
      <c r="I34" s="71"/>
      <c r="J34" s="114"/>
      <c r="K34" s="71"/>
      <c r="L34" s="114"/>
    </row>
    <row r="35" ht="15.75" customHeight="1">
      <c r="A35" s="128"/>
      <c r="B35" s="129"/>
      <c r="C35" s="130"/>
      <c r="D35" s="92"/>
      <c r="E35" s="131"/>
      <c r="F35" s="131"/>
      <c r="G35" s="131"/>
      <c r="H35" s="132"/>
      <c r="I35" s="129"/>
      <c r="J35" s="133"/>
      <c r="K35" s="129"/>
      <c r="L35" s="133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</row>
    <row r="37" ht="15.75" customHeight="1">
      <c r="A37" s="70"/>
      <c r="B37" s="70"/>
      <c r="C37" s="70"/>
      <c r="D37" s="70"/>
      <c r="E37" s="70"/>
      <c r="F37" s="70"/>
      <c r="G37" s="70"/>
      <c r="H37" s="60"/>
      <c r="I37" s="60"/>
      <c r="J37" s="60"/>
      <c r="K37" s="134"/>
      <c r="L37" s="135"/>
    </row>
    <row r="38" ht="15.75" customHeight="1">
      <c r="A38" s="70"/>
      <c r="B38" s="70"/>
      <c r="C38" s="70"/>
      <c r="D38" s="70"/>
      <c r="E38" s="70"/>
      <c r="F38" s="70"/>
      <c r="G38" s="70"/>
      <c r="H38" s="60"/>
      <c r="I38" s="60"/>
      <c r="J38" s="60"/>
      <c r="K38" s="134"/>
      <c r="L38" s="135"/>
    </row>
    <row r="39" ht="15.75" customHeight="1">
      <c r="A39" s="70"/>
      <c r="B39" s="70"/>
      <c r="C39" s="70"/>
      <c r="D39" s="70"/>
      <c r="E39" s="70"/>
      <c r="F39" s="70"/>
      <c r="G39" s="70"/>
      <c r="H39" s="60"/>
      <c r="I39" s="60"/>
      <c r="J39" s="60"/>
      <c r="K39" s="134"/>
      <c r="L39" s="136"/>
    </row>
    <row r="40" ht="15.75" customHeight="1">
      <c r="A40" s="70"/>
      <c r="B40" s="70"/>
      <c r="C40" s="70"/>
      <c r="D40" s="70"/>
      <c r="E40" s="70"/>
      <c r="F40" s="70"/>
      <c r="G40" s="70"/>
      <c r="H40" s="60"/>
      <c r="I40" s="60"/>
      <c r="J40" s="60"/>
      <c r="K40" s="155" t="s">
        <v>539</v>
      </c>
      <c r="L40" s="137">
        <f>SUM(K23:L30)</f>
        <v>660</v>
      </c>
    </row>
    <row r="41" ht="15.75" customHeight="1">
      <c r="A41" s="70"/>
      <c r="B41" s="70"/>
      <c r="C41" s="70"/>
      <c r="D41" s="70"/>
      <c r="E41" s="70"/>
      <c r="F41" s="70"/>
      <c r="G41" s="70"/>
      <c r="H41" s="60"/>
      <c r="I41" s="60"/>
      <c r="J41" s="60"/>
      <c r="K41" s="60"/>
      <c r="L41" s="60"/>
    </row>
    <row r="42" ht="15.75" customHeight="1">
      <c r="A42" s="139" t="s">
        <v>542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1"/>
    </row>
    <row r="43" ht="15.75" customHeight="1">
      <c r="A43" s="142"/>
      <c r="L43" s="143"/>
    </row>
    <row r="44" ht="15.75" customHeight="1">
      <c r="A44" s="142"/>
      <c r="L44" s="143"/>
    </row>
    <row r="45" ht="15.75" customHeight="1">
      <c r="A45" s="142"/>
      <c r="L45" s="143"/>
    </row>
    <row r="46" ht="64.5" customHeight="1">
      <c r="A46" s="142"/>
      <c r="L46" s="143"/>
    </row>
    <row r="47" ht="15.75" hidden="1" customHeight="1">
      <c r="A47" s="144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6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</row>
    <row r="54" ht="15.75" customHeight="1">
      <c r="A54" s="147" t="s">
        <v>543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48"/>
    </row>
    <row r="55" ht="15.75" customHeight="1">
      <c r="A55" s="142"/>
      <c r="L55" s="143"/>
    </row>
    <row r="56" ht="57.0" customHeight="1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6"/>
    </row>
    <row r="57" ht="37.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2">
    <mergeCell ref="K27:L27"/>
    <mergeCell ref="K28:L28"/>
    <mergeCell ref="I23:J23"/>
    <mergeCell ref="I24:J24"/>
    <mergeCell ref="I25:J25"/>
    <mergeCell ref="K25:L25"/>
    <mergeCell ref="I26:J26"/>
    <mergeCell ref="K26:L26"/>
    <mergeCell ref="I27:J27"/>
    <mergeCell ref="B21:G22"/>
    <mergeCell ref="H21:H22"/>
    <mergeCell ref="I21:J22"/>
    <mergeCell ref="K21:L22"/>
    <mergeCell ref="B23:G23"/>
    <mergeCell ref="K23:L23"/>
    <mergeCell ref="K24:L24"/>
    <mergeCell ref="B24:G24"/>
    <mergeCell ref="B25:G25"/>
    <mergeCell ref="B26:G26"/>
    <mergeCell ref="B27:G27"/>
    <mergeCell ref="B28:G28"/>
    <mergeCell ref="I30:J30"/>
    <mergeCell ref="K30:L30"/>
    <mergeCell ref="E5:I5"/>
    <mergeCell ref="A7:B7"/>
    <mergeCell ref="C7:D7"/>
    <mergeCell ref="G7:H7"/>
    <mergeCell ref="I7:K7"/>
    <mergeCell ref="C8:D8"/>
    <mergeCell ref="G8:H8"/>
    <mergeCell ref="A8:B8"/>
    <mergeCell ref="A9:B9"/>
    <mergeCell ref="C9:D9"/>
    <mergeCell ref="G9:H9"/>
    <mergeCell ref="A10:B10"/>
    <mergeCell ref="C10:D10"/>
    <mergeCell ref="G10:H10"/>
    <mergeCell ref="G12:H12"/>
    <mergeCell ref="G13:H13"/>
    <mergeCell ref="G14:H14"/>
    <mergeCell ref="A11:B11"/>
    <mergeCell ref="C11:D11"/>
    <mergeCell ref="G11:H11"/>
    <mergeCell ref="I11:K11"/>
    <mergeCell ref="A12:B12"/>
    <mergeCell ref="C13:D13"/>
    <mergeCell ref="I13:K13"/>
    <mergeCell ref="A13:B13"/>
    <mergeCell ref="A14:B14"/>
    <mergeCell ref="C14:D14"/>
    <mergeCell ref="A15:C15"/>
    <mergeCell ref="A16:B16"/>
    <mergeCell ref="A17:B17"/>
    <mergeCell ref="A21:A22"/>
    <mergeCell ref="B30:D30"/>
    <mergeCell ref="B31:D31"/>
    <mergeCell ref="B32:D32"/>
    <mergeCell ref="B33:D33"/>
    <mergeCell ref="B34:D34"/>
    <mergeCell ref="B35:D35"/>
    <mergeCell ref="I34:J34"/>
    <mergeCell ref="I35:J35"/>
    <mergeCell ref="A42:L47"/>
    <mergeCell ref="A54:L56"/>
    <mergeCell ref="I31:J31"/>
    <mergeCell ref="K31:L31"/>
    <mergeCell ref="I32:J32"/>
    <mergeCell ref="K32:L32"/>
    <mergeCell ref="I33:J33"/>
    <mergeCell ref="K33:L33"/>
    <mergeCell ref="K34:L34"/>
    <mergeCell ref="K35:L35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71"/>
    <col customWidth="1" min="2" max="2" width="36.43"/>
    <col customWidth="1" min="3" max="7" width="9.29"/>
    <col customWidth="1" min="8" max="8" width="14.29"/>
    <col customWidth="1" min="9" max="9" width="12.29"/>
    <col customWidth="1" min="10" max="10" width="10.29"/>
    <col customWidth="1" min="11" max="11" width="16.71"/>
    <col customWidth="1" min="12" max="12" width="13.57"/>
    <col customWidth="1" min="13" max="13" width="13.29"/>
    <col customWidth="1" min="14" max="14" width="18.43"/>
    <col customWidth="1" min="15" max="15" width="20.71"/>
    <col customWidth="1" min="16" max="18" width="28.43"/>
    <col customWidth="1" min="19" max="19" width="10.71"/>
    <col customWidth="1" min="20" max="20" width="10.86"/>
    <col customWidth="1" min="21" max="21" width="10.71"/>
  </cols>
  <sheetData>
    <row r="1" ht="23.25" customHeight="1">
      <c r="A1" s="18" t="s">
        <v>433</v>
      </c>
      <c r="B1" s="19" t="s">
        <v>434</v>
      </c>
      <c r="C1" s="19" t="s">
        <v>435</v>
      </c>
      <c r="D1" s="19" t="s">
        <v>436</v>
      </c>
      <c r="E1" s="19" t="s">
        <v>437</v>
      </c>
      <c r="F1" s="19" t="s">
        <v>438</v>
      </c>
      <c r="G1" s="19" t="s">
        <v>439</v>
      </c>
      <c r="H1" s="19"/>
      <c r="I1" s="19" t="s">
        <v>440</v>
      </c>
      <c r="J1" s="19" t="s">
        <v>441</v>
      </c>
      <c r="K1" s="19" t="s">
        <v>442</v>
      </c>
      <c r="L1" s="19" t="s">
        <v>443</v>
      </c>
      <c r="M1" s="19" t="s">
        <v>444</v>
      </c>
      <c r="N1" s="19" t="s">
        <v>445</v>
      </c>
      <c r="O1" s="19" t="s">
        <v>446</v>
      </c>
      <c r="P1" s="19" t="s">
        <v>447</v>
      </c>
      <c r="Q1" s="20"/>
      <c r="R1" s="20" t="s">
        <v>448</v>
      </c>
      <c r="S1" s="21" t="s">
        <v>449</v>
      </c>
      <c r="T1" s="22">
        <f>S2/1.2</f>
        <v>14.16666667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ht="14.25" customHeight="1">
      <c r="A2" s="27">
        <v>1.0</v>
      </c>
      <c r="B2" s="24" t="s">
        <v>599</v>
      </c>
      <c r="C2" s="27"/>
      <c r="D2" s="26"/>
      <c r="E2" s="26">
        <v>4.0</v>
      </c>
      <c r="F2" s="23"/>
      <c r="G2" s="23"/>
      <c r="H2" s="27"/>
      <c r="I2" s="27">
        <f t="shared" ref="I2:I47" si="1">IF(L2="Cadeau",0,C2*$S$2+D2*$S$3+E2*$S$4+F2*$S$5)</f>
        <v>74</v>
      </c>
      <c r="J2" s="28">
        <f t="shared" ref="J2:J47" si="2">I2/1.2</f>
        <v>61.66666667</v>
      </c>
      <c r="K2" s="29">
        <v>44949.0</v>
      </c>
      <c r="L2" s="23" t="s">
        <v>600</v>
      </c>
      <c r="M2" s="23" t="s">
        <v>477</v>
      </c>
      <c r="N2" s="27"/>
      <c r="O2" s="23" t="s">
        <v>601</v>
      </c>
      <c r="P2" s="30" t="s">
        <v>602</v>
      </c>
      <c r="Q2" s="31"/>
      <c r="R2" s="31" t="s">
        <v>451</v>
      </c>
      <c r="S2" s="9">
        <v>17.0</v>
      </c>
    </row>
    <row r="3" ht="14.25" customHeight="1">
      <c r="A3" s="40">
        <v>2.0</v>
      </c>
      <c r="B3" s="24" t="s">
        <v>450</v>
      </c>
      <c r="C3" s="25">
        <v>12.0</v>
      </c>
      <c r="D3" s="25">
        <v>12.0</v>
      </c>
      <c r="E3" s="32"/>
      <c r="F3" s="32"/>
      <c r="G3" s="32"/>
      <c r="H3" s="32"/>
      <c r="I3" s="27">
        <f t="shared" si="1"/>
        <v>432</v>
      </c>
      <c r="J3" s="28">
        <f t="shared" si="2"/>
        <v>360</v>
      </c>
      <c r="K3" s="33">
        <v>44964.0</v>
      </c>
      <c r="L3" s="24" t="s">
        <v>477</v>
      </c>
      <c r="M3" s="24" t="s">
        <v>453</v>
      </c>
      <c r="N3" s="32"/>
      <c r="O3" s="32"/>
      <c r="P3" s="34"/>
      <c r="Q3" s="31"/>
      <c r="R3" s="31" t="s">
        <v>455</v>
      </c>
      <c r="S3" s="9">
        <v>19.0</v>
      </c>
    </row>
    <row r="4" ht="14.25" customHeight="1">
      <c r="A4" s="27">
        <v>3.0</v>
      </c>
      <c r="B4" s="23" t="s">
        <v>603</v>
      </c>
      <c r="C4" s="37"/>
      <c r="D4" s="37"/>
      <c r="E4" s="23">
        <v>6.0</v>
      </c>
      <c r="F4" s="27"/>
      <c r="G4" s="27"/>
      <c r="H4" s="27"/>
      <c r="I4" s="27">
        <f t="shared" si="1"/>
        <v>111</v>
      </c>
      <c r="J4" s="28">
        <f t="shared" si="2"/>
        <v>92.5</v>
      </c>
      <c r="K4" s="35">
        <v>44981.0</v>
      </c>
      <c r="L4" s="23" t="s">
        <v>460</v>
      </c>
      <c r="M4" s="23" t="s">
        <v>453</v>
      </c>
      <c r="N4" s="23" t="s">
        <v>604</v>
      </c>
      <c r="O4" s="23" t="s">
        <v>605</v>
      </c>
      <c r="P4" s="36"/>
      <c r="Q4" s="31"/>
      <c r="R4" s="31" t="s">
        <v>456</v>
      </c>
      <c r="S4" s="31">
        <v>18.5</v>
      </c>
    </row>
    <row r="5" ht="14.25" customHeight="1">
      <c r="A5" s="40">
        <v>4.0</v>
      </c>
      <c r="B5" s="24" t="s">
        <v>606</v>
      </c>
      <c r="C5" s="25">
        <v>6.0</v>
      </c>
      <c r="D5" s="40"/>
      <c r="E5" s="32"/>
      <c r="F5" s="32"/>
      <c r="G5" s="32"/>
      <c r="H5" s="32"/>
      <c r="I5" s="27">
        <f t="shared" si="1"/>
        <v>102</v>
      </c>
      <c r="J5" s="28">
        <f t="shared" si="2"/>
        <v>85</v>
      </c>
      <c r="K5" s="33">
        <v>44981.0</v>
      </c>
      <c r="L5" s="24" t="s">
        <v>460</v>
      </c>
      <c r="M5" s="24" t="s">
        <v>453</v>
      </c>
      <c r="N5" s="24" t="s">
        <v>607</v>
      </c>
      <c r="O5" s="24" t="s">
        <v>605</v>
      </c>
      <c r="P5" s="34"/>
      <c r="Q5" s="31"/>
      <c r="R5" s="31" t="s">
        <v>458</v>
      </c>
      <c r="S5" s="9">
        <v>27.0</v>
      </c>
    </row>
    <row r="6" ht="14.25" customHeight="1">
      <c r="A6" s="27">
        <v>5.0</v>
      </c>
      <c r="B6" s="23" t="s">
        <v>479</v>
      </c>
      <c r="C6" s="37"/>
      <c r="D6" s="37"/>
      <c r="E6" s="23">
        <v>6.0</v>
      </c>
      <c r="F6" s="27"/>
      <c r="G6" s="27"/>
      <c r="H6" s="27"/>
      <c r="I6" s="27">
        <f t="shared" si="1"/>
        <v>111</v>
      </c>
      <c r="J6" s="28">
        <f t="shared" si="2"/>
        <v>92.5</v>
      </c>
      <c r="K6" s="35">
        <v>44985.0</v>
      </c>
      <c r="L6" s="23" t="s">
        <v>460</v>
      </c>
      <c r="M6" s="23" t="s">
        <v>453</v>
      </c>
      <c r="N6" s="23" t="s">
        <v>608</v>
      </c>
      <c r="O6" s="27"/>
      <c r="P6" s="27"/>
      <c r="R6" s="9" t="s">
        <v>462</v>
      </c>
      <c r="S6" s="9">
        <v>38.0</v>
      </c>
    </row>
    <row r="7" ht="14.25" customHeight="1">
      <c r="A7" s="40">
        <v>6.0</v>
      </c>
      <c r="B7" s="24" t="s">
        <v>609</v>
      </c>
      <c r="C7" s="25">
        <v>3.0</v>
      </c>
      <c r="D7" s="25">
        <v>1.0</v>
      </c>
      <c r="E7" s="32"/>
      <c r="F7" s="32"/>
      <c r="G7" s="32"/>
      <c r="H7" s="32"/>
      <c r="I7" s="27">
        <f t="shared" si="1"/>
        <v>70</v>
      </c>
      <c r="J7" s="28">
        <f t="shared" si="2"/>
        <v>58.33333333</v>
      </c>
      <c r="K7" s="33">
        <v>44989.0</v>
      </c>
      <c r="L7" s="24" t="s">
        <v>460</v>
      </c>
      <c r="M7" s="24" t="s">
        <v>453</v>
      </c>
      <c r="N7" s="159">
        <v>44992.0</v>
      </c>
      <c r="O7" s="24" t="s">
        <v>610</v>
      </c>
      <c r="P7" s="38" t="s">
        <v>602</v>
      </c>
      <c r="Q7" s="31"/>
      <c r="R7" s="31" t="s">
        <v>464</v>
      </c>
      <c r="S7" s="9">
        <f>SUM(C2:D1201)</f>
        <v>552</v>
      </c>
    </row>
    <row r="8" ht="14.25" customHeight="1">
      <c r="A8" s="27">
        <v>7.0</v>
      </c>
      <c r="B8" s="23" t="s">
        <v>452</v>
      </c>
      <c r="C8" s="26">
        <v>1.0</v>
      </c>
      <c r="D8" s="26">
        <v>5.0</v>
      </c>
      <c r="E8" s="23">
        <v>5.0</v>
      </c>
      <c r="F8" s="23"/>
      <c r="G8" s="27"/>
      <c r="H8" s="27"/>
      <c r="I8" s="27">
        <f t="shared" si="1"/>
        <v>0</v>
      </c>
      <c r="J8" s="28">
        <f t="shared" si="2"/>
        <v>0</v>
      </c>
      <c r="K8" s="35">
        <v>45016.0</v>
      </c>
      <c r="L8" s="23" t="s">
        <v>202</v>
      </c>
      <c r="M8" s="27"/>
      <c r="N8" s="23" t="s">
        <v>457</v>
      </c>
      <c r="O8" s="27"/>
      <c r="P8" s="36"/>
      <c r="Q8" s="31"/>
      <c r="R8" s="31"/>
    </row>
    <row r="9" ht="14.25" customHeight="1">
      <c r="A9" s="40">
        <v>8.0</v>
      </c>
      <c r="B9" s="24" t="s">
        <v>465</v>
      </c>
      <c r="C9" s="25">
        <v>102.0</v>
      </c>
      <c r="D9" s="40"/>
      <c r="E9" s="32"/>
      <c r="F9" s="32"/>
      <c r="G9" s="32"/>
      <c r="H9" s="32"/>
      <c r="I9" s="27">
        <f t="shared" si="1"/>
        <v>1734</v>
      </c>
      <c r="J9" s="28">
        <f t="shared" si="2"/>
        <v>1445</v>
      </c>
      <c r="K9" s="33">
        <v>45040.0</v>
      </c>
      <c r="L9" s="24" t="s">
        <v>460</v>
      </c>
      <c r="M9" s="24" t="s">
        <v>482</v>
      </c>
      <c r="N9" s="24" t="s">
        <v>611</v>
      </c>
      <c r="O9" s="32"/>
      <c r="P9" s="38">
        <v>98.0</v>
      </c>
      <c r="Q9" s="31"/>
      <c r="R9" s="31" t="s">
        <v>468</v>
      </c>
      <c r="S9" s="39">
        <f>SUM(I2:I1216)</f>
        <v>16457.5</v>
      </c>
    </row>
    <row r="10" ht="14.25" customHeight="1">
      <c r="A10" s="27">
        <v>9.0</v>
      </c>
      <c r="B10" s="23" t="s">
        <v>497</v>
      </c>
      <c r="C10" s="26">
        <v>12.0</v>
      </c>
      <c r="D10" s="37"/>
      <c r="E10" s="23">
        <v>18.0</v>
      </c>
      <c r="F10" s="27"/>
      <c r="G10" s="27"/>
      <c r="H10" s="27"/>
      <c r="I10" s="27">
        <f t="shared" si="1"/>
        <v>537</v>
      </c>
      <c r="J10" s="28">
        <f t="shared" si="2"/>
        <v>447.5</v>
      </c>
      <c r="K10" s="35">
        <v>45013.0</v>
      </c>
      <c r="L10" s="23" t="s">
        <v>460</v>
      </c>
      <c r="M10" s="23" t="s">
        <v>453</v>
      </c>
      <c r="N10" s="23"/>
      <c r="O10" s="23" t="s">
        <v>612</v>
      </c>
      <c r="P10" s="36"/>
      <c r="Q10" s="31"/>
      <c r="R10" s="31"/>
    </row>
    <row r="11" ht="14.25" customHeight="1">
      <c r="A11" s="40">
        <v>10.0</v>
      </c>
      <c r="B11" s="24" t="s">
        <v>500</v>
      </c>
      <c r="C11" s="25">
        <v>18.0</v>
      </c>
      <c r="D11" s="40"/>
      <c r="E11" s="24">
        <v>12.0</v>
      </c>
      <c r="F11" s="32"/>
      <c r="G11" s="32"/>
      <c r="H11" s="32"/>
      <c r="I11" s="27">
        <f t="shared" si="1"/>
        <v>528</v>
      </c>
      <c r="J11" s="28">
        <f t="shared" si="2"/>
        <v>440</v>
      </c>
      <c r="K11" s="33">
        <v>45016.0</v>
      </c>
      <c r="L11" s="24" t="s">
        <v>460</v>
      </c>
      <c r="M11" s="24" t="s">
        <v>453</v>
      </c>
      <c r="N11" s="24" t="s">
        <v>489</v>
      </c>
      <c r="O11" s="24" t="s">
        <v>563</v>
      </c>
      <c r="P11" s="32"/>
    </row>
    <row r="12" ht="14.25" customHeight="1">
      <c r="A12" s="27">
        <v>11.0</v>
      </c>
      <c r="B12" s="23" t="s">
        <v>562</v>
      </c>
      <c r="C12" s="26">
        <v>19.0</v>
      </c>
      <c r="D12" s="26">
        <v>10.0</v>
      </c>
      <c r="E12" s="23">
        <v>12.0</v>
      </c>
      <c r="F12" s="23">
        <v>13.0</v>
      </c>
      <c r="G12" s="27"/>
      <c r="H12" s="27"/>
      <c r="I12" s="27">
        <f t="shared" si="1"/>
        <v>1086</v>
      </c>
      <c r="J12" s="28">
        <f t="shared" si="2"/>
        <v>905</v>
      </c>
      <c r="K12" s="35">
        <v>45016.0</v>
      </c>
      <c r="L12" s="23" t="s">
        <v>460</v>
      </c>
      <c r="M12" s="23" t="s">
        <v>453</v>
      </c>
      <c r="N12" s="23" t="s">
        <v>489</v>
      </c>
      <c r="O12" s="23" t="s">
        <v>548</v>
      </c>
      <c r="P12" s="27"/>
    </row>
    <row r="13" ht="14.25" customHeight="1">
      <c r="A13" s="40">
        <v>12.0</v>
      </c>
      <c r="B13" s="32"/>
      <c r="C13" s="32"/>
      <c r="D13" s="32"/>
      <c r="E13" s="32"/>
      <c r="F13" s="32"/>
      <c r="G13" s="32"/>
      <c r="H13" s="32"/>
      <c r="I13" s="27">
        <f t="shared" si="1"/>
        <v>0</v>
      </c>
      <c r="J13" s="28">
        <f t="shared" si="2"/>
        <v>0</v>
      </c>
      <c r="K13" s="33"/>
      <c r="L13" s="24"/>
      <c r="M13" s="32"/>
      <c r="N13" s="32"/>
      <c r="O13" s="32"/>
      <c r="P13" s="32"/>
    </row>
    <row r="14" ht="14.25" customHeight="1">
      <c r="A14" s="27">
        <v>13.0</v>
      </c>
      <c r="B14" s="41" t="s">
        <v>613</v>
      </c>
      <c r="C14" s="23"/>
      <c r="D14" s="27"/>
      <c r="E14" s="23"/>
      <c r="F14" s="23">
        <v>2.0</v>
      </c>
      <c r="G14" s="27"/>
      <c r="H14" s="27"/>
      <c r="I14" s="27">
        <f t="shared" si="1"/>
        <v>54</v>
      </c>
      <c r="J14" s="28">
        <f t="shared" si="2"/>
        <v>45</v>
      </c>
      <c r="K14" s="35">
        <v>45016.0</v>
      </c>
      <c r="L14" s="23" t="s">
        <v>460</v>
      </c>
      <c r="M14" s="27"/>
      <c r="N14" s="23" t="s">
        <v>489</v>
      </c>
      <c r="O14" s="23" t="s">
        <v>563</v>
      </c>
      <c r="P14" s="27"/>
    </row>
    <row r="15" ht="14.25" customHeight="1">
      <c r="A15" s="40">
        <v>14.0</v>
      </c>
      <c r="B15" s="32"/>
      <c r="C15" s="32"/>
      <c r="D15" s="32"/>
      <c r="E15" s="32"/>
      <c r="F15" s="32"/>
      <c r="G15" s="32"/>
      <c r="H15" s="32"/>
      <c r="I15" s="27">
        <f t="shared" si="1"/>
        <v>0</v>
      </c>
      <c r="J15" s="28">
        <f t="shared" si="2"/>
        <v>0</v>
      </c>
      <c r="K15" s="160"/>
      <c r="L15" s="24"/>
      <c r="M15" s="32"/>
      <c r="N15" s="32"/>
      <c r="O15" s="32"/>
      <c r="P15" s="32"/>
    </row>
    <row r="16" ht="14.25" customHeight="1">
      <c r="A16" s="27">
        <v>15.0</v>
      </c>
      <c r="B16" s="43" t="s">
        <v>613</v>
      </c>
      <c r="C16" s="23">
        <v>1.0</v>
      </c>
      <c r="D16" s="23">
        <v>1.0</v>
      </c>
      <c r="E16" s="23">
        <v>1.0</v>
      </c>
      <c r="F16" s="23">
        <v>1.0</v>
      </c>
      <c r="G16" s="27"/>
      <c r="H16" s="27"/>
      <c r="I16" s="27">
        <f t="shared" si="1"/>
        <v>81.5</v>
      </c>
      <c r="J16" s="28">
        <f t="shared" si="2"/>
        <v>67.91666667</v>
      </c>
      <c r="K16" s="35">
        <v>45016.0</v>
      </c>
      <c r="L16" s="23" t="s">
        <v>460</v>
      </c>
      <c r="M16" s="27"/>
      <c r="N16" s="23" t="s">
        <v>614</v>
      </c>
      <c r="O16" s="23" t="s">
        <v>615</v>
      </c>
      <c r="P16" s="27"/>
    </row>
    <row r="17" ht="14.25" customHeight="1">
      <c r="A17" s="40">
        <v>16.0</v>
      </c>
      <c r="B17" s="24" t="s">
        <v>476</v>
      </c>
      <c r="C17" s="24">
        <v>6.0</v>
      </c>
      <c r="D17" s="24">
        <v>6.0</v>
      </c>
      <c r="E17" s="32"/>
      <c r="F17" s="32"/>
      <c r="G17" s="32"/>
      <c r="H17" s="32"/>
      <c r="I17" s="27">
        <f t="shared" si="1"/>
        <v>216</v>
      </c>
      <c r="J17" s="28">
        <f t="shared" si="2"/>
        <v>180</v>
      </c>
      <c r="K17" s="33">
        <v>45051.0</v>
      </c>
      <c r="L17" s="24" t="s">
        <v>460</v>
      </c>
      <c r="M17" s="32"/>
      <c r="N17" s="32"/>
      <c r="O17" s="24" t="s">
        <v>616</v>
      </c>
      <c r="P17" s="32"/>
    </row>
    <row r="18" ht="14.25" customHeight="1">
      <c r="A18" s="27">
        <v>17.0</v>
      </c>
      <c r="B18" s="23" t="s">
        <v>617</v>
      </c>
      <c r="C18" s="23">
        <v>36.0</v>
      </c>
      <c r="D18" s="27"/>
      <c r="E18" s="23">
        <v>6.0</v>
      </c>
      <c r="F18" s="27"/>
      <c r="G18" s="27"/>
      <c r="H18" s="27"/>
      <c r="I18" s="27">
        <f t="shared" si="1"/>
        <v>723</v>
      </c>
      <c r="J18" s="28">
        <f t="shared" si="2"/>
        <v>602.5</v>
      </c>
      <c r="K18" s="35">
        <v>45065.0</v>
      </c>
      <c r="L18" s="23" t="s">
        <v>460</v>
      </c>
      <c r="M18" s="23" t="s">
        <v>453</v>
      </c>
      <c r="N18" s="23" t="s">
        <v>493</v>
      </c>
      <c r="O18" s="23" t="s">
        <v>618</v>
      </c>
      <c r="P18" s="27"/>
    </row>
    <row r="19" ht="14.25" customHeight="1">
      <c r="A19" s="40">
        <v>18.0</v>
      </c>
      <c r="B19" s="44" t="s">
        <v>452</v>
      </c>
      <c r="C19" s="13">
        <v>4.0</v>
      </c>
      <c r="D19" s="9"/>
      <c r="E19" s="13">
        <v>1.0</v>
      </c>
      <c r="F19" s="9"/>
      <c r="G19" s="9"/>
      <c r="H19" s="9"/>
      <c r="I19" s="27">
        <f t="shared" si="1"/>
        <v>0</v>
      </c>
      <c r="J19" s="28">
        <f t="shared" si="2"/>
        <v>0</v>
      </c>
      <c r="K19" s="45">
        <v>45065.0</v>
      </c>
      <c r="L19" s="13" t="s">
        <v>202</v>
      </c>
      <c r="M19" s="9"/>
      <c r="N19" s="13" t="s">
        <v>619</v>
      </c>
      <c r="O19" s="13" t="s">
        <v>620</v>
      </c>
    </row>
    <row r="20" ht="14.25" customHeight="1">
      <c r="A20" s="27">
        <v>19.0</v>
      </c>
      <c r="B20" s="13" t="s">
        <v>621</v>
      </c>
      <c r="C20" s="13">
        <v>6.0</v>
      </c>
      <c r="D20" s="9"/>
      <c r="E20" s="13">
        <v>6.0</v>
      </c>
      <c r="F20" s="9"/>
      <c r="G20" s="9"/>
      <c r="H20" s="9"/>
      <c r="I20" s="27">
        <f t="shared" si="1"/>
        <v>213</v>
      </c>
      <c r="J20" s="28">
        <f t="shared" si="2"/>
        <v>177.5</v>
      </c>
      <c r="K20" s="46">
        <v>45066.0</v>
      </c>
      <c r="L20" s="13" t="s">
        <v>460</v>
      </c>
      <c r="M20" s="13" t="s">
        <v>453</v>
      </c>
      <c r="N20" s="13" t="s">
        <v>489</v>
      </c>
      <c r="O20" s="11" t="s">
        <v>330</v>
      </c>
    </row>
    <row r="21" ht="14.25" customHeight="1">
      <c r="A21" s="40">
        <v>20.0</v>
      </c>
      <c r="B21" s="13" t="s">
        <v>465</v>
      </c>
      <c r="C21" s="13">
        <v>6.0</v>
      </c>
      <c r="D21" s="9"/>
      <c r="E21" s="9"/>
      <c r="F21" s="9"/>
      <c r="G21" s="9"/>
      <c r="H21" s="9"/>
      <c r="I21" s="27">
        <f t="shared" si="1"/>
        <v>102</v>
      </c>
      <c r="J21" s="28">
        <f t="shared" si="2"/>
        <v>85</v>
      </c>
      <c r="K21" s="46">
        <v>45068.0</v>
      </c>
      <c r="L21" s="13" t="s">
        <v>460</v>
      </c>
      <c r="M21" s="13" t="s">
        <v>453</v>
      </c>
      <c r="N21" s="13" t="s">
        <v>493</v>
      </c>
      <c r="O21" s="9"/>
      <c r="P21" s="13">
        <v>19.06</v>
      </c>
    </row>
    <row r="22" ht="14.25" customHeight="1">
      <c r="A22" s="27">
        <v>21.0</v>
      </c>
      <c r="B22" s="13" t="s">
        <v>476</v>
      </c>
      <c r="C22" s="9"/>
      <c r="D22" s="13">
        <v>9.0</v>
      </c>
      <c r="E22" s="13">
        <v>9.0</v>
      </c>
      <c r="F22" s="9"/>
      <c r="G22" s="9"/>
      <c r="H22" s="9"/>
      <c r="I22" s="27">
        <f t="shared" si="1"/>
        <v>337.5</v>
      </c>
      <c r="J22" s="28">
        <f t="shared" si="2"/>
        <v>281.25</v>
      </c>
      <c r="K22" s="46">
        <v>45091.0</v>
      </c>
      <c r="L22" s="13" t="s">
        <v>460</v>
      </c>
      <c r="M22" s="13" t="s">
        <v>453</v>
      </c>
      <c r="N22" s="13" t="s">
        <v>622</v>
      </c>
      <c r="O22" s="13" t="s">
        <v>623</v>
      </c>
      <c r="P22" s="9"/>
    </row>
    <row r="23" ht="14.25" customHeight="1">
      <c r="A23" s="40">
        <v>22.0</v>
      </c>
      <c r="B23" s="13" t="s">
        <v>450</v>
      </c>
      <c r="C23" s="13">
        <v>6.0</v>
      </c>
      <c r="E23" s="13">
        <v>12.0</v>
      </c>
      <c r="F23" s="9"/>
      <c r="G23" s="9"/>
      <c r="H23" s="9"/>
      <c r="I23" s="27">
        <f t="shared" si="1"/>
        <v>324</v>
      </c>
      <c r="J23" s="28">
        <f t="shared" si="2"/>
        <v>270</v>
      </c>
      <c r="K23" s="46">
        <v>45105.0</v>
      </c>
      <c r="L23" s="13" t="s">
        <v>477</v>
      </c>
      <c r="M23" s="13" t="s">
        <v>453</v>
      </c>
      <c r="N23" s="9"/>
      <c r="O23" s="9"/>
      <c r="P23" s="9"/>
    </row>
    <row r="24">
      <c r="A24" s="27">
        <v>23.0</v>
      </c>
      <c r="B24" s="13" t="s">
        <v>624</v>
      </c>
      <c r="C24" s="13">
        <v>3.0</v>
      </c>
      <c r="E24" s="13">
        <v>2.0</v>
      </c>
      <c r="F24" s="13">
        <v>2.0</v>
      </c>
      <c r="G24" s="9"/>
      <c r="H24" s="9"/>
      <c r="I24" s="27">
        <f t="shared" si="1"/>
        <v>142</v>
      </c>
      <c r="J24" s="28">
        <f t="shared" si="2"/>
        <v>118.3333333</v>
      </c>
      <c r="K24" s="46">
        <v>45113.0</v>
      </c>
      <c r="L24" s="13" t="s">
        <v>460</v>
      </c>
      <c r="M24" s="13" t="s">
        <v>453</v>
      </c>
      <c r="N24" s="13" t="s">
        <v>489</v>
      </c>
      <c r="O24" s="9"/>
      <c r="P24" s="9"/>
    </row>
    <row r="25" ht="14.25" customHeight="1">
      <c r="A25" s="40">
        <v>24.0</v>
      </c>
      <c r="B25" s="47" t="s">
        <v>625</v>
      </c>
      <c r="C25" s="9"/>
      <c r="D25" s="9"/>
      <c r="E25" s="13">
        <v>36.0</v>
      </c>
      <c r="F25" s="9"/>
      <c r="G25" s="9"/>
      <c r="H25" s="9"/>
      <c r="I25" s="27">
        <f t="shared" si="1"/>
        <v>666</v>
      </c>
      <c r="J25" s="28">
        <f t="shared" si="2"/>
        <v>555</v>
      </c>
      <c r="K25" s="49">
        <v>45116.0</v>
      </c>
      <c r="L25" s="13" t="s">
        <v>460</v>
      </c>
      <c r="M25" s="13" t="s">
        <v>453</v>
      </c>
      <c r="N25" s="13" t="s">
        <v>493</v>
      </c>
      <c r="O25" s="13" t="s">
        <v>626</v>
      </c>
      <c r="P25" s="13">
        <v>65.61</v>
      </c>
    </row>
    <row r="26" ht="14.25" customHeight="1">
      <c r="A26" s="27">
        <v>25.0</v>
      </c>
      <c r="B26" s="47" t="s">
        <v>497</v>
      </c>
      <c r="C26" s="9"/>
      <c r="E26" s="13">
        <v>6.0</v>
      </c>
      <c r="F26" s="9"/>
      <c r="G26" s="9"/>
      <c r="H26" s="9"/>
      <c r="I26" s="27">
        <f t="shared" si="1"/>
        <v>111</v>
      </c>
      <c r="J26" s="28">
        <f t="shared" si="2"/>
        <v>92.5</v>
      </c>
      <c r="K26" s="45">
        <v>45116.0</v>
      </c>
      <c r="L26" s="13" t="s">
        <v>460</v>
      </c>
      <c r="M26" s="13" t="s">
        <v>453</v>
      </c>
      <c r="N26" s="13" t="s">
        <v>627</v>
      </c>
      <c r="O26" s="13" t="s">
        <v>628</v>
      </c>
      <c r="P26" s="9"/>
    </row>
    <row r="27" ht="14.25" customHeight="1">
      <c r="A27" s="40">
        <v>26.0</v>
      </c>
      <c r="B27" s="13" t="s">
        <v>557</v>
      </c>
      <c r="C27" s="9"/>
      <c r="E27" s="13">
        <v>48.0</v>
      </c>
      <c r="F27" s="9"/>
      <c r="G27" s="9"/>
      <c r="H27" s="9"/>
      <c r="I27" s="27">
        <f t="shared" si="1"/>
        <v>888</v>
      </c>
      <c r="J27" s="28">
        <f t="shared" si="2"/>
        <v>740</v>
      </c>
      <c r="K27" s="49">
        <v>45118.0</v>
      </c>
      <c r="L27" s="13" t="s">
        <v>460</v>
      </c>
      <c r="M27" s="13" t="s">
        <v>482</v>
      </c>
      <c r="N27" s="13" t="s">
        <v>493</v>
      </c>
      <c r="O27" s="13" t="s">
        <v>595</v>
      </c>
      <c r="P27" s="9"/>
    </row>
    <row r="28" ht="14.25" customHeight="1">
      <c r="A28" s="27">
        <v>27.0</v>
      </c>
      <c r="B28" s="50" t="s">
        <v>629</v>
      </c>
      <c r="C28" s="11">
        <v>12.0</v>
      </c>
      <c r="D28" s="9"/>
      <c r="E28" s="13">
        <v>6.0</v>
      </c>
      <c r="F28" s="9"/>
      <c r="G28" s="9"/>
      <c r="H28" s="9"/>
      <c r="I28" s="27">
        <f t="shared" si="1"/>
        <v>315</v>
      </c>
      <c r="J28" s="28">
        <f t="shared" si="2"/>
        <v>262.5</v>
      </c>
      <c r="K28" s="42">
        <v>45120.0</v>
      </c>
      <c r="L28" s="13" t="s">
        <v>460</v>
      </c>
      <c r="M28" s="13" t="s">
        <v>482</v>
      </c>
      <c r="N28" s="13" t="s">
        <v>630</v>
      </c>
      <c r="O28" s="11" t="s">
        <v>631</v>
      </c>
      <c r="P28" s="9"/>
    </row>
    <row r="29" ht="14.25" customHeight="1">
      <c r="A29" s="40">
        <v>28.0</v>
      </c>
      <c r="B29" s="51" t="s">
        <v>613</v>
      </c>
      <c r="C29" s="9"/>
      <c r="E29" s="13">
        <v>6.0</v>
      </c>
      <c r="F29" s="13">
        <v>6.0</v>
      </c>
      <c r="G29" s="9"/>
      <c r="H29" s="9"/>
      <c r="I29" s="27">
        <f t="shared" si="1"/>
        <v>273</v>
      </c>
      <c r="J29" s="28">
        <f t="shared" si="2"/>
        <v>227.5</v>
      </c>
      <c r="K29" s="46">
        <v>45122.0</v>
      </c>
      <c r="L29" s="13" t="s">
        <v>460</v>
      </c>
      <c r="M29" s="13"/>
      <c r="N29" s="11" t="s">
        <v>632</v>
      </c>
      <c r="O29" s="52" t="s">
        <v>563</v>
      </c>
      <c r="P29" s="9"/>
    </row>
    <row r="30" ht="14.25" customHeight="1">
      <c r="A30" s="27">
        <v>29.0</v>
      </c>
      <c r="B30" s="13" t="s">
        <v>452</v>
      </c>
      <c r="C30" s="13">
        <v>2.0</v>
      </c>
      <c r="E30" s="13">
        <v>2.0</v>
      </c>
      <c r="F30" s="9"/>
      <c r="G30" s="9"/>
      <c r="H30" s="9"/>
      <c r="I30" s="27">
        <f t="shared" si="1"/>
        <v>0</v>
      </c>
      <c r="J30" s="28">
        <f t="shared" si="2"/>
        <v>0</v>
      </c>
      <c r="K30" s="46">
        <v>45138.0</v>
      </c>
      <c r="L30" s="13" t="s">
        <v>202</v>
      </c>
      <c r="M30" s="9"/>
      <c r="N30" s="13">
        <v>0.0</v>
      </c>
      <c r="O30" s="52" t="s">
        <v>633</v>
      </c>
      <c r="P30" s="13" t="s">
        <v>634</v>
      </c>
    </row>
    <row r="31" ht="14.25" customHeight="1">
      <c r="A31" s="40">
        <v>30.0</v>
      </c>
      <c r="B31" s="11" t="s">
        <v>452</v>
      </c>
      <c r="C31" s="11">
        <v>3.0</v>
      </c>
      <c r="D31" s="11">
        <v>2.0</v>
      </c>
      <c r="E31" s="13">
        <v>1.0</v>
      </c>
      <c r="F31" s="9"/>
      <c r="G31" s="9"/>
      <c r="H31" s="9"/>
      <c r="I31" s="27">
        <f t="shared" si="1"/>
        <v>0</v>
      </c>
      <c r="J31" s="28">
        <f t="shared" si="2"/>
        <v>0</v>
      </c>
      <c r="K31" s="46">
        <v>45138.0</v>
      </c>
      <c r="L31" s="13" t="s">
        <v>202</v>
      </c>
      <c r="M31" s="9"/>
      <c r="N31" s="11">
        <v>0.0</v>
      </c>
      <c r="O31" s="52" t="s">
        <v>454</v>
      </c>
      <c r="P31" s="13" t="s">
        <v>635</v>
      </c>
    </row>
    <row r="32" ht="14.25" customHeight="1">
      <c r="A32" s="27">
        <v>31.0</v>
      </c>
      <c r="B32" s="13" t="s">
        <v>452</v>
      </c>
      <c r="C32" s="13">
        <v>6.0</v>
      </c>
      <c r="D32" s="13">
        <v>6.0</v>
      </c>
      <c r="E32" s="13">
        <v>6.0</v>
      </c>
      <c r="F32" s="9"/>
      <c r="G32" s="9"/>
      <c r="H32" s="9"/>
      <c r="I32" s="27">
        <f t="shared" si="1"/>
        <v>0</v>
      </c>
      <c r="J32" s="28">
        <f t="shared" si="2"/>
        <v>0</v>
      </c>
      <c r="K32" s="46">
        <v>45139.0</v>
      </c>
      <c r="L32" s="13" t="s">
        <v>202</v>
      </c>
      <c r="M32" s="9"/>
      <c r="N32" s="13" t="s">
        <v>636</v>
      </c>
      <c r="O32" s="13" t="s">
        <v>454</v>
      </c>
      <c r="P32" s="13" t="s">
        <v>637</v>
      </c>
    </row>
    <row r="33" ht="14.25" customHeight="1">
      <c r="A33" s="40">
        <v>32.0</v>
      </c>
      <c r="B33" s="13" t="s">
        <v>450</v>
      </c>
      <c r="E33" s="13">
        <v>1.0</v>
      </c>
      <c r="F33" s="9"/>
      <c r="G33" s="9"/>
      <c r="H33" s="13"/>
      <c r="I33" s="27">
        <f t="shared" si="1"/>
        <v>0</v>
      </c>
      <c r="J33" s="28">
        <f t="shared" si="2"/>
        <v>0</v>
      </c>
      <c r="K33" s="46">
        <v>45144.0</v>
      </c>
      <c r="L33" s="13" t="s">
        <v>202</v>
      </c>
      <c r="M33" s="9"/>
      <c r="N33" s="13" t="s">
        <v>614</v>
      </c>
      <c r="P33" s="9"/>
    </row>
    <row r="34" ht="14.25" customHeight="1">
      <c r="A34" s="27">
        <v>33.0</v>
      </c>
      <c r="B34" s="13" t="s">
        <v>613</v>
      </c>
      <c r="C34" s="13">
        <v>12.0</v>
      </c>
      <c r="D34" s="13">
        <v>6.0</v>
      </c>
      <c r="E34" s="13">
        <v>6.0</v>
      </c>
      <c r="F34" s="13">
        <v>12.0</v>
      </c>
      <c r="G34" s="9"/>
      <c r="H34" s="13"/>
      <c r="I34" s="27">
        <f t="shared" si="1"/>
        <v>753</v>
      </c>
      <c r="J34" s="28">
        <f t="shared" si="2"/>
        <v>627.5</v>
      </c>
      <c r="K34" s="46">
        <v>45148.0</v>
      </c>
      <c r="L34" s="13" t="s">
        <v>460</v>
      </c>
      <c r="M34" s="13" t="s">
        <v>453</v>
      </c>
      <c r="N34" s="13" t="s">
        <v>638</v>
      </c>
      <c r="P34" s="9"/>
    </row>
    <row r="35" ht="14.25" customHeight="1">
      <c r="A35" s="40">
        <v>34.0</v>
      </c>
      <c r="B35" s="13" t="s">
        <v>452</v>
      </c>
      <c r="C35" s="13">
        <v>6.0</v>
      </c>
      <c r="E35" s="13">
        <v>6.0</v>
      </c>
      <c r="F35" s="9"/>
      <c r="G35" s="9"/>
      <c r="H35" s="13"/>
      <c r="I35" s="27">
        <f t="shared" si="1"/>
        <v>0</v>
      </c>
      <c r="J35" s="28">
        <f t="shared" si="2"/>
        <v>0</v>
      </c>
      <c r="K35" s="46">
        <v>45148.0</v>
      </c>
      <c r="L35" s="13" t="s">
        <v>202</v>
      </c>
      <c r="M35" s="9"/>
      <c r="N35" s="13" t="s">
        <v>639</v>
      </c>
      <c r="O35" s="9"/>
      <c r="P35" s="9"/>
    </row>
    <row r="36" ht="14.25" customHeight="1">
      <c r="A36" s="27">
        <v>35.0</v>
      </c>
      <c r="B36" s="51" t="s">
        <v>572</v>
      </c>
      <c r="E36" s="13">
        <v>6.0</v>
      </c>
      <c r="F36" s="9"/>
      <c r="G36" s="9"/>
      <c r="H36" s="13"/>
      <c r="I36" s="27">
        <f t="shared" si="1"/>
        <v>111</v>
      </c>
      <c r="J36" s="28">
        <f t="shared" si="2"/>
        <v>92.5</v>
      </c>
      <c r="K36" s="46">
        <v>45170.0</v>
      </c>
      <c r="L36" s="13" t="s">
        <v>460</v>
      </c>
      <c r="M36" s="13" t="s">
        <v>453</v>
      </c>
      <c r="N36" s="13" t="s">
        <v>640</v>
      </c>
      <c r="O36" s="11" t="s">
        <v>641</v>
      </c>
      <c r="P36" s="9"/>
    </row>
    <row r="37" ht="14.25" customHeight="1">
      <c r="A37" s="40">
        <v>36.0</v>
      </c>
      <c r="B37" s="13" t="s">
        <v>488</v>
      </c>
      <c r="C37" s="13">
        <v>6.0</v>
      </c>
      <c r="E37" s="9"/>
      <c r="F37" s="9"/>
      <c r="G37" s="9"/>
      <c r="H37" s="13"/>
      <c r="I37" s="27">
        <f t="shared" si="1"/>
        <v>102</v>
      </c>
      <c r="J37" s="28">
        <f t="shared" si="2"/>
        <v>85</v>
      </c>
      <c r="K37" s="46">
        <v>45188.0</v>
      </c>
      <c r="L37" s="13" t="s">
        <v>460</v>
      </c>
      <c r="M37" s="13" t="s">
        <v>453</v>
      </c>
      <c r="N37" s="13" t="s">
        <v>516</v>
      </c>
      <c r="O37" s="11" t="s">
        <v>292</v>
      </c>
      <c r="P37" s="9"/>
    </row>
    <row r="38" ht="14.25" customHeight="1">
      <c r="A38" s="27">
        <v>37.0</v>
      </c>
      <c r="B38" s="13" t="s">
        <v>568</v>
      </c>
      <c r="C38" s="13">
        <v>7.0</v>
      </c>
      <c r="E38" s="13">
        <v>1.0</v>
      </c>
      <c r="F38" s="9"/>
      <c r="G38" s="9"/>
      <c r="H38" s="13"/>
      <c r="I38" s="27">
        <f t="shared" si="1"/>
        <v>0</v>
      </c>
      <c r="J38" s="28">
        <f t="shared" si="2"/>
        <v>0</v>
      </c>
      <c r="K38" s="46">
        <v>45184.0</v>
      </c>
      <c r="L38" s="13" t="s">
        <v>202</v>
      </c>
      <c r="M38" s="9"/>
      <c r="O38" s="13" t="s">
        <v>642</v>
      </c>
      <c r="P38" s="9"/>
    </row>
    <row r="39" ht="14.25" customHeight="1">
      <c r="A39" s="40">
        <v>38.0</v>
      </c>
      <c r="B39" s="13" t="s">
        <v>479</v>
      </c>
      <c r="C39" s="9"/>
      <c r="E39" s="13">
        <v>12.0</v>
      </c>
      <c r="F39" s="9"/>
      <c r="G39" s="9"/>
      <c r="H39" s="13"/>
      <c r="I39" s="27">
        <f t="shared" si="1"/>
        <v>222</v>
      </c>
      <c r="J39" s="28">
        <f t="shared" si="2"/>
        <v>185</v>
      </c>
      <c r="K39" s="46">
        <v>45199.0</v>
      </c>
      <c r="L39" s="13" t="s">
        <v>460</v>
      </c>
      <c r="M39" s="9"/>
      <c r="N39" s="11" t="s">
        <v>493</v>
      </c>
      <c r="O39" s="9"/>
    </row>
    <row r="40" ht="14.25" customHeight="1">
      <c r="A40" s="27">
        <v>39.0</v>
      </c>
      <c r="B40" s="13" t="s">
        <v>643</v>
      </c>
      <c r="D40" s="13"/>
      <c r="E40" s="13">
        <v>2.0</v>
      </c>
      <c r="F40" s="9"/>
      <c r="G40" s="9"/>
      <c r="H40" s="9"/>
      <c r="I40" s="27">
        <f t="shared" si="1"/>
        <v>37</v>
      </c>
      <c r="J40" s="28">
        <f t="shared" si="2"/>
        <v>30.83333333</v>
      </c>
      <c r="K40" s="46">
        <v>45078.0</v>
      </c>
      <c r="L40" s="13" t="s">
        <v>460</v>
      </c>
      <c r="M40" s="9"/>
      <c r="N40" s="13" t="s">
        <v>644</v>
      </c>
      <c r="O40" s="9"/>
    </row>
    <row r="41" ht="14.25" customHeight="1">
      <c r="A41" s="40">
        <v>40.0</v>
      </c>
      <c r="B41" s="13" t="s">
        <v>645</v>
      </c>
      <c r="C41" s="13">
        <v>9.0</v>
      </c>
      <c r="D41" s="9"/>
      <c r="E41" s="9"/>
      <c r="F41" s="9"/>
      <c r="G41" s="9"/>
      <c r="H41" s="9"/>
      <c r="I41" s="27">
        <f t="shared" si="1"/>
        <v>153</v>
      </c>
      <c r="J41" s="28">
        <f t="shared" si="2"/>
        <v>127.5</v>
      </c>
      <c r="K41" s="53">
        <v>45165.0</v>
      </c>
      <c r="L41" s="13" t="s">
        <v>460</v>
      </c>
      <c r="M41" s="9"/>
      <c r="N41" s="13" t="s">
        <v>646</v>
      </c>
      <c r="O41" s="13" t="s">
        <v>330</v>
      </c>
      <c r="P41" s="9"/>
    </row>
    <row r="42" ht="14.25" customHeight="1">
      <c r="A42" s="27">
        <v>41.0</v>
      </c>
      <c r="B42" s="13" t="s">
        <v>452</v>
      </c>
      <c r="E42" s="13">
        <v>5.0</v>
      </c>
      <c r="F42" s="9"/>
      <c r="G42" s="9"/>
      <c r="H42" s="9"/>
      <c r="I42" s="27">
        <f t="shared" si="1"/>
        <v>0</v>
      </c>
      <c r="J42" s="28">
        <f t="shared" si="2"/>
        <v>0</v>
      </c>
      <c r="K42" s="46">
        <v>45199.0</v>
      </c>
      <c r="L42" s="13" t="s">
        <v>202</v>
      </c>
      <c r="M42" s="9"/>
      <c r="N42" s="13" t="s">
        <v>647</v>
      </c>
      <c r="O42" s="13" t="s">
        <v>111</v>
      </c>
    </row>
    <row r="43" ht="14.25" customHeight="1">
      <c r="A43" s="40">
        <v>42.0</v>
      </c>
      <c r="B43" s="13" t="s">
        <v>452</v>
      </c>
      <c r="C43" s="13">
        <v>7.0</v>
      </c>
      <c r="D43" s="9"/>
      <c r="E43" s="9"/>
      <c r="F43" s="9"/>
      <c r="G43" s="9"/>
      <c r="H43" s="9"/>
      <c r="I43" s="27">
        <f t="shared" si="1"/>
        <v>0</v>
      </c>
      <c r="J43" s="28">
        <f t="shared" si="2"/>
        <v>0</v>
      </c>
      <c r="K43" s="46">
        <v>45184.0</v>
      </c>
      <c r="L43" s="13" t="s">
        <v>202</v>
      </c>
      <c r="M43" s="9"/>
      <c r="N43" s="11" t="s">
        <v>642</v>
      </c>
      <c r="O43" s="13" t="s">
        <v>110</v>
      </c>
      <c r="P43" s="9"/>
    </row>
    <row r="44" ht="14.25" customHeight="1">
      <c r="A44" s="27">
        <v>43.0</v>
      </c>
      <c r="B44" s="13" t="s">
        <v>450</v>
      </c>
      <c r="C44" s="13">
        <v>6.0</v>
      </c>
      <c r="D44" s="11">
        <v>6.0</v>
      </c>
      <c r="E44" s="52">
        <v>6.0</v>
      </c>
      <c r="F44" s="13"/>
      <c r="G44" s="9"/>
      <c r="H44" s="9"/>
      <c r="I44" s="27">
        <f t="shared" si="1"/>
        <v>0</v>
      </c>
      <c r="J44" s="28">
        <f t="shared" si="2"/>
        <v>0</v>
      </c>
      <c r="K44" s="46">
        <v>45261.0</v>
      </c>
      <c r="L44" s="13" t="s">
        <v>202</v>
      </c>
      <c r="M44" s="13" t="s">
        <v>453</v>
      </c>
      <c r="N44" s="13">
        <v>0.0</v>
      </c>
      <c r="O44" s="13" t="s">
        <v>648</v>
      </c>
    </row>
    <row r="45" ht="14.25" customHeight="1">
      <c r="A45" s="40">
        <v>44.0</v>
      </c>
      <c r="B45" s="13" t="s">
        <v>452</v>
      </c>
      <c r="C45" s="9"/>
      <c r="D45" s="9"/>
      <c r="E45" s="13">
        <v>2.0</v>
      </c>
      <c r="F45" s="13">
        <v>2.0</v>
      </c>
      <c r="G45" s="9"/>
      <c r="H45" s="9"/>
      <c r="I45" s="27">
        <f t="shared" si="1"/>
        <v>0</v>
      </c>
      <c r="J45" s="28">
        <f t="shared" si="2"/>
        <v>0</v>
      </c>
      <c r="K45" s="46">
        <v>45248.0</v>
      </c>
      <c r="L45" s="13" t="s">
        <v>202</v>
      </c>
      <c r="M45" s="9"/>
      <c r="N45" s="13">
        <v>0.0</v>
      </c>
      <c r="O45" s="13" t="s">
        <v>649</v>
      </c>
    </row>
    <row r="46" ht="14.25" customHeight="1">
      <c r="A46" s="27">
        <v>45.0</v>
      </c>
      <c r="H46" s="9"/>
      <c r="I46" s="27">
        <f t="shared" si="1"/>
        <v>0</v>
      </c>
      <c r="J46" s="28">
        <f t="shared" si="2"/>
        <v>0</v>
      </c>
      <c r="K46" s="58"/>
      <c r="L46" s="9"/>
      <c r="M46" s="9"/>
      <c r="N46" s="11">
        <v>0.0</v>
      </c>
    </row>
    <row r="47" ht="14.25" customHeight="1">
      <c r="A47" s="27">
        <v>47.0</v>
      </c>
      <c r="B47" s="13" t="s">
        <v>650</v>
      </c>
      <c r="C47" s="9"/>
      <c r="D47" s="13">
        <v>18.0</v>
      </c>
      <c r="E47" s="13">
        <v>18.0</v>
      </c>
      <c r="F47" s="9"/>
      <c r="G47" s="9"/>
      <c r="H47" s="9"/>
      <c r="I47" s="27">
        <f t="shared" si="1"/>
        <v>675</v>
      </c>
      <c r="J47" s="28">
        <f t="shared" si="2"/>
        <v>562.5</v>
      </c>
      <c r="K47" s="46">
        <v>45260.0</v>
      </c>
      <c r="L47" s="13" t="s">
        <v>460</v>
      </c>
      <c r="M47" s="13" t="s">
        <v>453</v>
      </c>
      <c r="N47" s="13" t="s">
        <v>651</v>
      </c>
      <c r="O47" s="13" t="s">
        <v>652</v>
      </c>
      <c r="P47" s="11">
        <v>65.0</v>
      </c>
    </row>
    <row r="48">
      <c r="A48" s="11">
        <v>46.0</v>
      </c>
      <c r="B48" s="11" t="s">
        <v>465</v>
      </c>
      <c r="C48" s="11">
        <v>36.0</v>
      </c>
      <c r="I48" s="11">
        <v>612.0</v>
      </c>
      <c r="J48" s="11">
        <v>510.0</v>
      </c>
      <c r="K48" s="11" t="s">
        <v>653</v>
      </c>
      <c r="O48" s="11" t="s">
        <v>654</v>
      </c>
    </row>
    <row r="49" ht="14.25" customHeight="1">
      <c r="A49" s="40">
        <v>48.0</v>
      </c>
      <c r="B49" s="13" t="s">
        <v>561</v>
      </c>
      <c r="C49" s="13"/>
      <c r="D49" s="9"/>
      <c r="E49" s="13">
        <v>60.0</v>
      </c>
      <c r="F49" s="9"/>
      <c r="G49" s="13"/>
      <c r="H49" s="9"/>
      <c r="I49" s="27">
        <f t="shared" ref="I49:I59" si="3">IF(L49="Cadeau",0,C49*$S$2+D49*$S$3+E49*$S$4+F49*$S$5)</f>
        <v>1110</v>
      </c>
      <c r="J49" s="28">
        <f t="shared" ref="J49:J59" si="4">I49/1.2</f>
        <v>925</v>
      </c>
      <c r="K49" s="46">
        <v>45260.0</v>
      </c>
      <c r="L49" s="13" t="s">
        <v>460</v>
      </c>
      <c r="M49" s="13" t="s">
        <v>453</v>
      </c>
      <c r="N49" s="13" t="s">
        <v>655</v>
      </c>
      <c r="O49" s="13" t="s">
        <v>480</v>
      </c>
      <c r="P49" s="13">
        <v>0.0</v>
      </c>
    </row>
    <row r="50" ht="14.25" customHeight="1">
      <c r="A50" s="27">
        <v>49.0</v>
      </c>
      <c r="B50" s="13" t="s">
        <v>656</v>
      </c>
      <c r="C50" s="11">
        <v>12.0</v>
      </c>
      <c r="D50" s="11">
        <v>6.0</v>
      </c>
      <c r="E50" s="13">
        <v>6.0</v>
      </c>
      <c r="F50" s="9"/>
      <c r="G50" s="9"/>
      <c r="H50" s="9"/>
      <c r="I50" s="27">
        <f t="shared" si="3"/>
        <v>429</v>
      </c>
      <c r="J50" s="28">
        <f t="shared" si="4"/>
        <v>357.5</v>
      </c>
      <c r="K50" s="46">
        <v>45261.0</v>
      </c>
      <c r="L50" s="13" t="s">
        <v>460</v>
      </c>
      <c r="M50" s="13" t="s">
        <v>453</v>
      </c>
      <c r="N50" s="11" t="s">
        <v>657</v>
      </c>
      <c r="O50" s="11" t="s">
        <v>658</v>
      </c>
    </row>
    <row r="51" ht="14.25" customHeight="1">
      <c r="A51" s="40">
        <v>50.0</v>
      </c>
      <c r="B51" s="13" t="s">
        <v>572</v>
      </c>
      <c r="C51" s="13">
        <v>6.0</v>
      </c>
      <c r="E51" s="13">
        <v>6.0</v>
      </c>
      <c r="F51" s="9"/>
      <c r="G51" s="9"/>
      <c r="H51" s="9"/>
      <c r="I51" s="27">
        <f t="shared" si="3"/>
        <v>213</v>
      </c>
      <c r="J51" s="28">
        <f t="shared" si="4"/>
        <v>177.5</v>
      </c>
      <c r="K51" s="46">
        <v>45261.0</v>
      </c>
      <c r="L51" s="13" t="s">
        <v>460</v>
      </c>
      <c r="M51" s="13" t="s">
        <v>453</v>
      </c>
      <c r="N51" s="13" t="s">
        <v>659</v>
      </c>
      <c r="O51" s="13" t="s">
        <v>658</v>
      </c>
    </row>
    <row r="52" ht="14.25" customHeight="1">
      <c r="A52" s="27">
        <v>51.0</v>
      </c>
      <c r="B52" s="13" t="s">
        <v>509</v>
      </c>
      <c r="C52" s="11">
        <v>18.0</v>
      </c>
      <c r="E52" s="13">
        <v>12.0</v>
      </c>
      <c r="F52" s="9"/>
      <c r="G52" s="9"/>
      <c r="H52" s="9"/>
      <c r="I52" s="27">
        <f t="shared" si="3"/>
        <v>528</v>
      </c>
      <c r="J52" s="28">
        <f t="shared" si="4"/>
        <v>440</v>
      </c>
      <c r="K52" s="46">
        <v>45261.0</v>
      </c>
      <c r="L52" s="13" t="s">
        <v>460</v>
      </c>
      <c r="M52" s="13" t="s">
        <v>453</v>
      </c>
      <c r="N52" s="11" t="s">
        <v>660</v>
      </c>
      <c r="O52" s="11" t="s">
        <v>661</v>
      </c>
    </row>
    <row r="53" ht="14.25" customHeight="1">
      <c r="A53" s="40">
        <v>52.0</v>
      </c>
      <c r="B53" s="54" t="s">
        <v>662</v>
      </c>
      <c r="C53" s="55"/>
      <c r="D53" s="55"/>
      <c r="E53" s="54">
        <v>12.0</v>
      </c>
      <c r="F53" s="55"/>
      <c r="G53" s="55"/>
      <c r="H53" s="55"/>
      <c r="I53" s="27">
        <f t="shared" si="3"/>
        <v>222</v>
      </c>
      <c r="J53" s="28">
        <f t="shared" si="4"/>
        <v>185</v>
      </c>
      <c r="K53" s="56">
        <v>45261.0</v>
      </c>
      <c r="L53" s="13" t="s">
        <v>460</v>
      </c>
      <c r="M53" s="13" t="s">
        <v>453</v>
      </c>
      <c r="O53" s="13" t="s">
        <v>658</v>
      </c>
      <c r="P53" s="55"/>
    </row>
    <row r="54" ht="14.25" customHeight="1">
      <c r="A54" s="27">
        <v>53.0</v>
      </c>
      <c r="B54" s="13" t="s">
        <v>663</v>
      </c>
      <c r="C54" s="11">
        <v>18.0</v>
      </c>
      <c r="E54" s="9"/>
      <c r="F54" s="9"/>
      <c r="G54" s="9"/>
      <c r="H54" s="9"/>
      <c r="I54" s="27">
        <f t="shared" si="3"/>
        <v>306</v>
      </c>
      <c r="J54" s="28">
        <f t="shared" si="4"/>
        <v>255</v>
      </c>
      <c r="K54" s="46">
        <v>45261.0</v>
      </c>
      <c r="L54" s="13" t="s">
        <v>460</v>
      </c>
      <c r="M54" s="13" t="s">
        <v>453</v>
      </c>
      <c r="N54" s="11" t="s">
        <v>664</v>
      </c>
      <c r="O54" s="11" t="s">
        <v>652</v>
      </c>
      <c r="P54" s="11">
        <v>35.0</v>
      </c>
    </row>
    <row r="55" ht="14.25" customHeight="1">
      <c r="A55" s="40">
        <v>54.0</v>
      </c>
      <c r="B55" s="13" t="s">
        <v>603</v>
      </c>
      <c r="C55" s="13">
        <v>12.0</v>
      </c>
      <c r="E55" s="9"/>
      <c r="F55" s="9"/>
      <c r="G55" s="9"/>
      <c r="H55" s="9"/>
      <c r="I55" s="27">
        <f t="shared" si="3"/>
        <v>204</v>
      </c>
      <c r="J55" s="28">
        <f t="shared" si="4"/>
        <v>170</v>
      </c>
      <c r="K55" s="46">
        <v>45261.0</v>
      </c>
      <c r="L55" s="13" t="s">
        <v>460</v>
      </c>
      <c r="M55" s="13" t="s">
        <v>453</v>
      </c>
      <c r="O55" s="13" t="s">
        <v>639</v>
      </c>
    </row>
    <row r="56" ht="14.25" customHeight="1">
      <c r="A56" s="27">
        <v>55.0</v>
      </c>
      <c r="B56" s="13" t="s">
        <v>665</v>
      </c>
      <c r="D56" s="11">
        <v>27.0</v>
      </c>
      <c r="E56" s="52">
        <v>33.0</v>
      </c>
      <c r="F56" s="9"/>
      <c r="G56" s="13"/>
      <c r="I56" s="27">
        <f t="shared" si="3"/>
        <v>1123.5</v>
      </c>
      <c r="J56" s="28">
        <f t="shared" si="4"/>
        <v>936.25</v>
      </c>
      <c r="K56" s="46">
        <v>45270.0</v>
      </c>
      <c r="L56" s="13" t="s">
        <v>460</v>
      </c>
      <c r="M56" s="13" t="s">
        <v>453</v>
      </c>
      <c r="N56" s="11" t="s">
        <v>666</v>
      </c>
      <c r="O56" s="11" t="s">
        <v>667</v>
      </c>
      <c r="P56" s="11">
        <v>0.0</v>
      </c>
    </row>
    <row r="57" ht="14.25" customHeight="1">
      <c r="A57" s="40">
        <v>56.0</v>
      </c>
      <c r="B57" s="13" t="s">
        <v>452</v>
      </c>
      <c r="C57" s="11">
        <v>4.0</v>
      </c>
      <c r="D57" s="11">
        <v>2.0</v>
      </c>
      <c r="E57" s="13">
        <v>9.0</v>
      </c>
      <c r="F57" s="13">
        <v>1.0</v>
      </c>
      <c r="G57" s="9"/>
      <c r="H57" s="13"/>
      <c r="I57" s="27">
        <f t="shared" si="3"/>
        <v>0</v>
      </c>
      <c r="J57" s="28">
        <f t="shared" si="4"/>
        <v>0</v>
      </c>
      <c r="K57" s="46"/>
      <c r="L57" s="13" t="s">
        <v>202</v>
      </c>
      <c r="M57" s="13" t="s">
        <v>453</v>
      </c>
      <c r="O57" s="11" t="s">
        <v>668</v>
      </c>
    </row>
    <row r="58" ht="14.25" customHeight="1">
      <c r="A58" s="27">
        <v>57.0</v>
      </c>
      <c r="B58" s="13" t="s">
        <v>669</v>
      </c>
      <c r="C58" s="11">
        <v>12.0</v>
      </c>
      <c r="E58" s="9"/>
      <c r="F58" s="13"/>
      <c r="G58" s="9"/>
      <c r="H58" s="13"/>
      <c r="I58" s="27">
        <f t="shared" si="3"/>
        <v>204</v>
      </c>
      <c r="J58" s="28">
        <f t="shared" si="4"/>
        <v>170</v>
      </c>
      <c r="K58" s="13" t="s">
        <v>670</v>
      </c>
      <c r="L58" s="13" t="s">
        <v>460</v>
      </c>
      <c r="M58" s="13" t="s">
        <v>453</v>
      </c>
      <c r="N58" s="11" t="s">
        <v>493</v>
      </c>
    </row>
    <row r="59" ht="14.25" customHeight="1">
      <c r="A59" s="40">
        <v>58.0</v>
      </c>
      <c r="B59" s="13" t="s">
        <v>479</v>
      </c>
      <c r="E59" s="13">
        <v>12.0</v>
      </c>
      <c r="F59" s="9"/>
      <c r="G59" s="9"/>
      <c r="H59" s="9"/>
      <c r="I59" s="27">
        <f t="shared" si="3"/>
        <v>222</v>
      </c>
      <c r="J59" s="28">
        <f t="shared" si="4"/>
        <v>185</v>
      </c>
      <c r="K59" s="46">
        <v>45283.0</v>
      </c>
      <c r="L59" s="13" t="s">
        <v>460</v>
      </c>
      <c r="M59" s="13" t="s">
        <v>453</v>
      </c>
      <c r="N59" s="11" t="s">
        <v>493</v>
      </c>
    </row>
    <row r="60" ht="14.25" customHeight="1">
      <c r="A60" s="27">
        <v>59.0</v>
      </c>
      <c r="B60" s="13"/>
      <c r="E60" s="9"/>
      <c r="F60" s="9"/>
      <c r="G60" s="9"/>
      <c r="H60" s="9"/>
      <c r="I60" s="27"/>
      <c r="J60" s="28"/>
      <c r="K60" s="57"/>
      <c r="L60" s="13"/>
      <c r="M60" s="13"/>
    </row>
    <row r="61" ht="14.25" customHeight="1">
      <c r="A61" s="40">
        <v>60.0</v>
      </c>
      <c r="B61" s="13"/>
      <c r="E61" s="9"/>
      <c r="F61" s="9"/>
      <c r="G61" s="9"/>
      <c r="H61" s="9"/>
      <c r="I61" s="27">
        <f t="shared" ref="I61:I67" si="5">IF(L61="Cadeau",0,C61*$S$2+D61*$S$3+E61*$S$4+F61*$S$5)</f>
        <v>0</v>
      </c>
      <c r="J61" s="28">
        <f t="shared" ref="J61:J67" si="6">I61/1.2</f>
        <v>0</v>
      </c>
      <c r="K61" s="13"/>
      <c r="L61" s="13"/>
      <c r="M61" s="9"/>
    </row>
    <row r="62" ht="14.25" customHeight="1">
      <c r="A62" s="27">
        <v>61.0</v>
      </c>
      <c r="B62" s="13"/>
      <c r="E62" s="13"/>
      <c r="F62" s="9"/>
      <c r="G62" s="9"/>
      <c r="H62" s="9"/>
      <c r="I62" s="27">
        <f t="shared" si="5"/>
        <v>0</v>
      </c>
      <c r="J62" s="28">
        <f t="shared" si="6"/>
        <v>0</v>
      </c>
      <c r="K62" s="46"/>
      <c r="L62" s="13"/>
      <c r="M62" s="9"/>
    </row>
    <row r="63" ht="14.25" customHeight="1">
      <c r="A63" s="40">
        <v>62.0</v>
      </c>
      <c r="B63" s="9"/>
      <c r="E63" s="9"/>
      <c r="F63" s="9"/>
      <c r="G63" s="9"/>
      <c r="H63" s="9"/>
      <c r="I63" s="27">
        <f t="shared" si="5"/>
        <v>0</v>
      </c>
      <c r="J63" s="28">
        <f t="shared" si="6"/>
        <v>0</v>
      </c>
      <c r="K63" s="58"/>
      <c r="L63" s="9"/>
      <c r="M63" s="9"/>
    </row>
    <row r="64" ht="14.25" customHeight="1">
      <c r="A64" s="27">
        <v>63.0</v>
      </c>
      <c r="B64" s="9"/>
      <c r="E64" s="9"/>
      <c r="F64" s="9"/>
      <c r="G64" s="9"/>
      <c r="H64" s="9"/>
      <c r="I64" s="27">
        <f t="shared" si="5"/>
        <v>0</v>
      </c>
      <c r="J64" s="28">
        <f t="shared" si="6"/>
        <v>0</v>
      </c>
      <c r="K64" s="58"/>
      <c r="L64" s="9"/>
      <c r="M64" s="9"/>
    </row>
    <row r="65" ht="14.25" customHeight="1">
      <c r="A65" s="40">
        <v>64.0</v>
      </c>
      <c r="B65" s="9"/>
      <c r="E65" s="9"/>
      <c r="F65" s="9"/>
      <c r="G65" s="9"/>
      <c r="H65" s="9"/>
      <c r="I65" s="27">
        <f t="shared" si="5"/>
        <v>0</v>
      </c>
      <c r="J65" s="28">
        <f t="shared" si="6"/>
        <v>0</v>
      </c>
      <c r="K65" s="58"/>
      <c r="L65" s="9"/>
      <c r="M65" s="9"/>
    </row>
    <row r="66" ht="14.25" customHeight="1">
      <c r="A66" s="27">
        <v>65.0</v>
      </c>
      <c r="B66" s="9"/>
      <c r="E66" s="9"/>
      <c r="F66" s="9"/>
      <c r="G66" s="9"/>
      <c r="H66" s="9"/>
      <c r="I66" s="27">
        <f t="shared" si="5"/>
        <v>0</v>
      </c>
      <c r="J66" s="28">
        <f t="shared" si="6"/>
        <v>0</v>
      </c>
      <c r="K66" s="58"/>
      <c r="L66" s="9"/>
      <c r="M66" s="9"/>
    </row>
    <row r="67" ht="14.25" customHeight="1">
      <c r="A67" s="40">
        <v>66.0</v>
      </c>
      <c r="B67" s="9"/>
      <c r="E67" s="9"/>
      <c r="F67" s="9"/>
      <c r="G67" s="9"/>
      <c r="H67" s="9"/>
      <c r="I67" s="27">
        <f t="shared" si="5"/>
        <v>0</v>
      </c>
      <c r="J67" s="28">
        <f t="shared" si="6"/>
        <v>0</v>
      </c>
      <c r="K67" s="58"/>
      <c r="L67" s="9"/>
      <c r="M67" s="9"/>
    </row>
    <row r="68" ht="14.25" customHeight="1">
      <c r="A68" s="27">
        <v>67.0</v>
      </c>
      <c r="B68" s="9"/>
      <c r="E68" s="9"/>
      <c r="F68" s="9"/>
      <c r="G68" s="9"/>
      <c r="H68" s="9"/>
      <c r="I68" s="9"/>
      <c r="J68" s="9"/>
      <c r="K68" s="58"/>
      <c r="L68" s="9"/>
      <c r="M68" s="9"/>
    </row>
    <row r="69" ht="14.25" customHeight="1">
      <c r="A69" s="40">
        <v>68.0</v>
      </c>
      <c r="B69" s="9"/>
      <c r="E69" s="9"/>
      <c r="F69" s="9"/>
      <c r="G69" s="9"/>
      <c r="H69" s="9"/>
      <c r="I69" s="9"/>
      <c r="J69" s="9"/>
      <c r="K69" s="58"/>
      <c r="L69" s="9"/>
      <c r="M69" s="9"/>
    </row>
    <row r="70" ht="14.25" customHeight="1">
      <c r="A70" s="27">
        <v>69.0</v>
      </c>
      <c r="B70" s="9"/>
      <c r="E70" s="9"/>
      <c r="F70" s="9"/>
      <c r="G70" s="9"/>
      <c r="H70" s="9"/>
      <c r="I70" s="9"/>
      <c r="J70" s="9"/>
      <c r="K70" s="58"/>
      <c r="L70" s="9"/>
      <c r="M70" s="9"/>
    </row>
    <row r="71" ht="14.25" customHeight="1">
      <c r="A71" s="40">
        <v>70.0</v>
      </c>
      <c r="B71" s="9"/>
      <c r="E71" s="9"/>
      <c r="F71" s="9"/>
      <c r="G71" s="9"/>
      <c r="H71" s="9"/>
      <c r="I71" s="9"/>
      <c r="J71" s="9"/>
      <c r="K71" s="58"/>
      <c r="L71" s="9"/>
      <c r="M71" s="9"/>
    </row>
    <row r="72" ht="14.25" customHeight="1">
      <c r="A72" s="27">
        <v>71.0</v>
      </c>
      <c r="B72" s="9"/>
      <c r="E72" s="9"/>
      <c r="F72" s="9"/>
      <c r="G72" s="9"/>
      <c r="H72" s="9"/>
      <c r="I72" s="9"/>
      <c r="J72" s="9"/>
      <c r="K72" s="58"/>
      <c r="L72" s="9"/>
      <c r="M72" s="9"/>
    </row>
    <row r="73" ht="14.25" customHeight="1">
      <c r="A73" s="40">
        <v>72.0</v>
      </c>
      <c r="B73" s="9"/>
      <c r="E73" s="9"/>
      <c r="F73" s="9"/>
      <c r="G73" s="9"/>
      <c r="H73" s="9"/>
      <c r="I73" s="9"/>
      <c r="J73" s="9"/>
      <c r="K73" s="58"/>
      <c r="L73" s="9"/>
      <c r="M73" s="9"/>
    </row>
    <row r="74" ht="14.25" customHeight="1">
      <c r="A74" s="27">
        <v>73.0</v>
      </c>
      <c r="B74" s="9"/>
      <c r="E74" s="9"/>
      <c r="F74" s="9"/>
      <c r="G74" s="9"/>
      <c r="H74" s="9"/>
      <c r="I74" s="9"/>
      <c r="J74" s="9"/>
      <c r="K74" s="58"/>
      <c r="L74" s="9"/>
      <c r="M74" s="9"/>
    </row>
    <row r="75" ht="14.25" customHeight="1">
      <c r="A75" s="40">
        <v>74.0</v>
      </c>
      <c r="B75" s="9"/>
      <c r="E75" s="9"/>
      <c r="F75" s="9"/>
      <c r="G75" s="9"/>
      <c r="H75" s="9"/>
      <c r="I75" s="9"/>
      <c r="J75" s="9"/>
      <c r="K75" s="58"/>
      <c r="L75" s="9"/>
      <c r="M75" s="9"/>
    </row>
    <row r="76" ht="14.25" customHeight="1">
      <c r="A76" s="27">
        <v>75.0</v>
      </c>
      <c r="B76" s="9"/>
      <c r="E76" s="9"/>
      <c r="F76" s="9"/>
      <c r="G76" s="9"/>
      <c r="H76" s="9"/>
      <c r="I76" s="9"/>
      <c r="J76" s="9"/>
      <c r="K76" s="58"/>
      <c r="L76" s="9"/>
      <c r="M76" s="9"/>
    </row>
    <row r="77" ht="14.25" customHeight="1">
      <c r="A77" s="40">
        <v>76.0</v>
      </c>
      <c r="B77" s="9"/>
      <c r="E77" s="9"/>
      <c r="F77" s="9"/>
      <c r="G77" s="9"/>
      <c r="H77" s="9"/>
      <c r="I77" s="9"/>
      <c r="J77" s="9"/>
      <c r="L77" s="9"/>
      <c r="M77" s="9"/>
    </row>
    <row r="78" ht="14.25" customHeight="1">
      <c r="A78" s="9">
        <f t="shared" ref="A78:A98" si="7">IF(L78="CAdeau",0,MAX($A$2:A77)+1)</f>
        <v>77</v>
      </c>
      <c r="B78" s="9"/>
      <c r="E78" s="9"/>
      <c r="F78" s="9"/>
      <c r="G78" s="9"/>
      <c r="H78" s="9"/>
      <c r="I78" s="9"/>
      <c r="J78" s="9"/>
      <c r="L78" s="9"/>
      <c r="M78" s="9"/>
    </row>
    <row r="79" ht="14.25" customHeight="1">
      <c r="A79" s="9">
        <f t="shared" si="7"/>
        <v>78</v>
      </c>
      <c r="B79" s="9"/>
      <c r="E79" s="9"/>
      <c r="F79" s="9"/>
      <c r="G79" s="9"/>
      <c r="H79" s="9"/>
      <c r="I79" s="9"/>
      <c r="J79" s="9"/>
      <c r="K79" s="58"/>
      <c r="L79" s="9"/>
      <c r="M79" s="9"/>
    </row>
    <row r="80" ht="14.25" customHeight="1">
      <c r="A80" s="9">
        <f t="shared" si="7"/>
        <v>79</v>
      </c>
      <c r="B80" s="9"/>
      <c r="E80" s="9"/>
      <c r="F80" s="9"/>
      <c r="G80" s="9"/>
      <c r="H80" s="9"/>
      <c r="I80" s="9"/>
      <c r="J80" s="9"/>
      <c r="K80" s="58"/>
      <c r="L80" s="9"/>
      <c r="M80" s="9"/>
    </row>
    <row r="81" ht="14.25" customHeight="1">
      <c r="A81" s="9">
        <f t="shared" si="7"/>
        <v>80</v>
      </c>
      <c r="B81" s="9"/>
      <c r="E81" s="9"/>
      <c r="F81" s="9"/>
      <c r="G81" s="9"/>
      <c r="H81" s="9"/>
      <c r="I81" s="9"/>
      <c r="J81" s="9"/>
      <c r="K81" s="58"/>
      <c r="L81" s="9"/>
      <c r="M81" s="9"/>
    </row>
    <row r="82" ht="14.25" customHeight="1">
      <c r="A82" s="9">
        <f t="shared" si="7"/>
        <v>81</v>
      </c>
      <c r="B82" s="9"/>
      <c r="E82" s="9"/>
      <c r="F82" s="9"/>
      <c r="G82" s="9"/>
      <c r="H82" s="9"/>
      <c r="I82" s="9"/>
      <c r="J82" s="9"/>
      <c r="K82" s="58"/>
      <c r="L82" s="9"/>
      <c r="M82" s="9"/>
    </row>
    <row r="83" ht="14.25" customHeight="1">
      <c r="A83" s="9">
        <f t="shared" si="7"/>
        <v>82</v>
      </c>
      <c r="B83" s="9"/>
      <c r="E83" s="9"/>
      <c r="F83" s="9"/>
      <c r="G83" s="9"/>
      <c r="H83" s="9"/>
      <c r="I83" s="9"/>
      <c r="J83" s="9"/>
      <c r="K83" s="58"/>
      <c r="L83" s="9"/>
      <c r="M83" s="9"/>
    </row>
    <row r="84" ht="14.25" customHeight="1">
      <c r="A84" s="9">
        <f t="shared" si="7"/>
        <v>83</v>
      </c>
      <c r="B84" s="9"/>
      <c r="E84" s="9"/>
      <c r="F84" s="9"/>
      <c r="G84" s="9"/>
      <c r="H84" s="9"/>
      <c r="I84" s="9"/>
      <c r="J84" s="9"/>
      <c r="K84" s="58"/>
      <c r="L84" s="9"/>
      <c r="M84" s="9"/>
    </row>
    <row r="85" ht="14.25" customHeight="1">
      <c r="A85" s="9">
        <f t="shared" si="7"/>
        <v>84</v>
      </c>
      <c r="B85" s="9"/>
      <c r="E85" s="9"/>
      <c r="F85" s="9"/>
      <c r="G85" s="9"/>
      <c r="H85" s="9"/>
      <c r="I85" s="9"/>
      <c r="J85" s="9"/>
      <c r="K85" s="58"/>
      <c r="L85" s="9"/>
      <c r="M85" s="9"/>
    </row>
    <row r="86" ht="14.25" customHeight="1">
      <c r="A86" s="9">
        <f t="shared" si="7"/>
        <v>85</v>
      </c>
      <c r="B86" s="9"/>
      <c r="E86" s="9"/>
      <c r="F86" s="9"/>
      <c r="G86" s="9"/>
      <c r="H86" s="9"/>
      <c r="I86" s="9"/>
      <c r="J86" s="9"/>
      <c r="K86" s="58"/>
      <c r="L86" s="9"/>
      <c r="M86" s="9"/>
    </row>
    <row r="87" ht="14.25" customHeight="1">
      <c r="A87" s="9">
        <f t="shared" si="7"/>
        <v>86</v>
      </c>
      <c r="B87" s="9"/>
      <c r="E87" s="9"/>
      <c r="F87" s="9"/>
      <c r="G87" s="9"/>
      <c r="H87" s="9"/>
      <c r="I87" s="9"/>
      <c r="J87" s="9"/>
      <c r="L87" s="9"/>
      <c r="M87" s="9"/>
    </row>
    <row r="88" ht="14.25" customHeight="1">
      <c r="A88" s="9">
        <f t="shared" si="7"/>
        <v>87</v>
      </c>
      <c r="B88" s="9"/>
      <c r="E88" s="9"/>
      <c r="F88" s="9"/>
      <c r="G88" s="9"/>
      <c r="H88" s="9"/>
      <c r="I88" s="9"/>
      <c r="J88" s="9"/>
      <c r="K88" s="58"/>
      <c r="L88" s="9"/>
      <c r="M88" s="9"/>
    </row>
    <row r="89" ht="14.25" customHeight="1">
      <c r="A89" s="9">
        <f t="shared" si="7"/>
        <v>88</v>
      </c>
      <c r="B89" s="9"/>
      <c r="E89" s="9"/>
      <c r="F89" s="9"/>
      <c r="G89" s="9"/>
      <c r="H89" s="9"/>
      <c r="I89" s="9"/>
      <c r="J89" s="9"/>
      <c r="K89" s="58"/>
      <c r="L89" s="9"/>
      <c r="M89" s="9"/>
    </row>
    <row r="90" ht="14.25" customHeight="1">
      <c r="A90" s="9">
        <f t="shared" si="7"/>
        <v>89</v>
      </c>
      <c r="B90" s="9"/>
      <c r="E90" s="9"/>
      <c r="F90" s="9"/>
      <c r="G90" s="9"/>
      <c r="H90" s="9"/>
      <c r="I90" s="9"/>
      <c r="J90" s="9"/>
      <c r="K90" s="58"/>
      <c r="L90" s="9"/>
      <c r="M90" s="9"/>
    </row>
    <row r="91" ht="14.25" customHeight="1">
      <c r="A91" s="9">
        <f t="shared" si="7"/>
        <v>90</v>
      </c>
      <c r="B91" s="9"/>
      <c r="E91" s="9"/>
      <c r="F91" s="9"/>
      <c r="G91" s="9"/>
      <c r="H91" s="9"/>
      <c r="I91" s="9"/>
      <c r="J91" s="9"/>
      <c r="K91" s="58"/>
      <c r="L91" s="9"/>
      <c r="M91" s="9"/>
    </row>
    <row r="92" ht="14.25" customHeight="1">
      <c r="A92" s="9">
        <f t="shared" si="7"/>
        <v>91</v>
      </c>
      <c r="B92" s="9"/>
      <c r="E92" s="9"/>
      <c r="F92" s="9"/>
      <c r="G92" s="9"/>
      <c r="H92" s="9"/>
      <c r="I92" s="9"/>
      <c r="J92" s="9"/>
      <c r="K92" s="59"/>
      <c r="L92" s="9"/>
      <c r="M92" s="9"/>
    </row>
    <row r="93" ht="14.25" customHeight="1">
      <c r="A93" s="9">
        <f t="shared" si="7"/>
        <v>92</v>
      </c>
      <c r="B93" s="9"/>
      <c r="E93" s="9"/>
      <c r="F93" s="9"/>
      <c r="G93" s="9"/>
      <c r="H93" s="9"/>
      <c r="I93" s="9"/>
      <c r="J93" s="9"/>
      <c r="K93" s="59"/>
      <c r="L93" s="9"/>
      <c r="M93" s="9"/>
    </row>
    <row r="94" ht="14.25" customHeight="1">
      <c r="A94" s="9">
        <f t="shared" si="7"/>
        <v>93</v>
      </c>
      <c r="B94" s="9"/>
      <c r="E94" s="9"/>
      <c r="F94" s="9"/>
      <c r="G94" s="9"/>
      <c r="H94" s="9"/>
      <c r="I94" s="9"/>
      <c r="J94" s="9"/>
      <c r="K94" s="59"/>
      <c r="L94" s="9"/>
      <c r="M94" s="9"/>
    </row>
    <row r="95" ht="14.25" customHeight="1">
      <c r="A95" s="9">
        <f t="shared" si="7"/>
        <v>94</v>
      </c>
      <c r="B95" s="9"/>
      <c r="E95" s="9"/>
      <c r="F95" s="9"/>
      <c r="G95" s="9"/>
      <c r="H95" s="9"/>
      <c r="I95" s="9"/>
      <c r="J95" s="9"/>
      <c r="K95" s="59"/>
      <c r="L95" s="9"/>
      <c r="M95" s="9"/>
    </row>
    <row r="96" ht="14.25" customHeight="1">
      <c r="A96" s="9">
        <f t="shared" si="7"/>
        <v>95</v>
      </c>
      <c r="B96" s="9"/>
      <c r="E96" s="9"/>
      <c r="F96" s="9"/>
      <c r="G96" s="9"/>
      <c r="H96" s="9"/>
      <c r="I96" s="9"/>
      <c r="J96" s="9"/>
      <c r="K96" s="58"/>
      <c r="L96" s="9"/>
      <c r="M96" s="9"/>
    </row>
    <row r="97" ht="14.25" customHeight="1">
      <c r="A97" s="9">
        <f t="shared" si="7"/>
        <v>96</v>
      </c>
      <c r="B97" s="9"/>
      <c r="E97" s="9"/>
      <c r="F97" s="9"/>
      <c r="G97" s="9"/>
      <c r="H97" s="9"/>
      <c r="I97" s="9"/>
      <c r="J97" s="9"/>
      <c r="K97" s="58"/>
      <c r="L97" s="9"/>
      <c r="M97" s="9"/>
    </row>
    <row r="98" ht="14.25" customHeight="1">
      <c r="A98" s="9">
        <f t="shared" si="7"/>
        <v>97</v>
      </c>
      <c r="B98" s="9"/>
      <c r="E98" s="9"/>
      <c r="F98" s="9"/>
      <c r="G98" s="9"/>
      <c r="H98" s="9"/>
      <c r="I98" s="9"/>
      <c r="J98" s="9"/>
      <c r="K98" s="59"/>
      <c r="L98" s="9"/>
      <c r="M98" s="9"/>
    </row>
    <row r="99" ht="14.25" customHeight="1">
      <c r="A99" s="9" t="s">
        <v>598</v>
      </c>
      <c r="B99" s="9"/>
      <c r="E99" s="9"/>
      <c r="F99" s="9"/>
      <c r="G99" s="9"/>
      <c r="H99" s="9"/>
      <c r="I99" s="9"/>
      <c r="J99" s="9"/>
      <c r="K99" s="59"/>
      <c r="L99" s="9"/>
      <c r="M99" s="9"/>
    </row>
    <row r="100" ht="14.25" customHeight="1">
      <c r="A100" s="9">
        <f t="shared" ref="A100:A161" si="8">IF(L100="CAdeau",0,MAX($A$2:A99)+1)</f>
        <v>98</v>
      </c>
      <c r="B100" s="9"/>
      <c r="E100" s="9"/>
      <c r="F100" s="9"/>
      <c r="G100" s="9"/>
      <c r="H100" s="9"/>
      <c r="I100" s="9"/>
      <c r="J100" s="9"/>
      <c r="K100" s="58"/>
      <c r="L100" s="9"/>
      <c r="M100" s="9"/>
    </row>
    <row r="101" ht="14.25" customHeight="1">
      <c r="A101" s="9">
        <f t="shared" si="8"/>
        <v>99</v>
      </c>
      <c r="B101" s="9"/>
      <c r="E101" s="9"/>
      <c r="F101" s="9"/>
      <c r="G101" s="9"/>
      <c r="H101" s="9"/>
      <c r="I101" s="9"/>
      <c r="J101" s="9"/>
      <c r="K101" s="58"/>
      <c r="L101" s="9"/>
      <c r="M101" s="9"/>
    </row>
    <row r="102" ht="14.25" customHeight="1">
      <c r="A102" s="9">
        <f t="shared" si="8"/>
        <v>100</v>
      </c>
      <c r="B102" s="9"/>
      <c r="E102" s="9"/>
      <c r="F102" s="9"/>
      <c r="G102" s="9"/>
      <c r="H102" s="9"/>
      <c r="I102" s="9"/>
      <c r="J102" s="9"/>
      <c r="K102" s="58"/>
      <c r="L102" s="9"/>
      <c r="M102" s="9"/>
    </row>
    <row r="103" ht="14.25" customHeight="1">
      <c r="A103" s="9">
        <f t="shared" si="8"/>
        <v>101</v>
      </c>
      <c r="B103" s="9"/>
      <c r="E103" s="9"/>
      <c r="F103" s="9"/>
      <c r="G103" s="9"/>
      <c r="H103" s="9"/>
      <c r="I103" s="9"/>
      <c r="J103" s="9"/>
      <c r="K103" s="58"/>
      <c r="L103" s="9"/>
      <c r="M103" s="9"/>
    </row>
    <row r="104" ht="14.25" customHeight="1">
      <c r="A104" s="9">
        <f t="shared" si="8"/>
        <v>102</v>
      </c>
      <c r="B104" s="9"/>
      <c r="E104" s="9"/>
      <c r="F104" s="9"/>
      <c r="G104" s="9"/>
      <c r="H104" s="9"/>
      <c r="I104" s="9"/>
      <c r="J104" s="9"/>
      <c r="K104" s="59"/>
      <c r="L104" s="9"/>
      <c r="M104" s="9"/>
    </row>
    <row r="105" ht="14.25" customHeight="1">
      <c r="A105" s="9">
        <f t="shared" si="8"/>
        <v>103</v>
      </c>
      <c r="B105" s="9"/>
      <c r="E105" s="9"/>
      <c r="F105" s="9"/>
      <c r="G105" s="9"/>
      <c r="H105" s="9"/>
      <c r="I105" s="9"/>
      <c r="J105" s="9"/>
      <c r="K105" s="59"/>
      <c r="L105" s="9"/>
      <c r="M105" s="9"/>
    </row>
    <row r="106" ht="14.25" customHeight="1">
      <c r="A106" s="9">
        <f t="shared" si="8"/>
        <v>104</v>
      </c>
      <c r="B106" s="9"/>
      <c r="E106" s="9"/>
      <c r="F106" s="9"/>
      <c r="G106" s="9"/>
      <c r="H106" s="9"/>
      <c r="I106" s="9"/>
      <c r="J106" s="9"/>
      <c r="K106" s="59"/>
      <c r="L106" s="9"/>
      <c r="M106" s="9"/>
    </row>
    <row r="107" ht="14.25" customHeight="1">
      <c r="A107" s="9">
        <f t="shared" si="8"/>
        <v>105</v>
      </c>
      <c r="B107" s="9"/>
      <c r="E107" s="9"/>
      <c r="F107" s="9"/>
      <c r="G107" s="9"/>
      <c r="H107" s="9"/>
      <c r="I107" s="9"/>
      <c r="J107" s="9"/>
      <c r="K107" s="59"/>
      <c r="L107" s="9"/>
      <c r="M107" s="9"/>
    </row>
    <row r="108" ht="14.25" customHeight="1">
      <c r="A108" s="9">
        <f t="shared" si="8"/>
        <v>106</v>
      </c>
      <c r="B108" s="9"/>
      <c r="E108" s="9"/>
      <c r="F108" s="9"/>
      <c r="G108" s="9"/>
      <c r="H108" s="9"/>
      <c r="I108" s="9"/>
      <c r="J108" s="9"/>
      <c r="K108" s="59"/>
      <c r="L108" s="9"/>
      <c r="M108" s="9"/>
    </row>
    <row r="109" ht="14.25" customHeight="1">
      <c r="A109" s="9">
        <f t="shared" si="8"/>
        <v>107</v>
      </c>
      <c r="B109" s="9"/>
      <c r="E109" s="9"/>
      <c r="F109" s="9"/>
      <c r="G109" s="9"/>
      <c r="H109" s="9"/>
      <c r="I109" s="9"/>
      <c r="J109" s="9"/>
      <c r="K109" s="59"/>
      <c r="L109" s="9"/>
      <c r="M109" s="9"/>
    </row>
    <row r="110" ht="14.25" customHeight="1">
      <c r="A110" s="9">
        <f t="shared" si="8"/>
        <v>108</v>
      </c>
      <c r="B110" s="9"/>
      <c r="E110" s="9"/>
      <c r="F110" s="9"/>
      <c r="G110" s="9"/>
      <c r="H110" s="9"/>
      <c r="I110" s="9"/>
      <c r="J110" s="9"/>
      <c r="K110" s="59"/>
      <c r="L110" s="9"/>
      <c r="M110" s="9"/>
    </row>
    <row r="111" ht="14.25" customHeight="1">
      <c r="A111" s="9">
        <f t="shared" si="8"/>
        <v>109</v>
      </c>
      <c r="B111" s="9"/>
      <c r="E111" s="9"/>
      <c r="F111" s="9"/>
      <c r="G111" s="9"/>
      <c r="H111" s="9"/>
      <c r="I111" s="9"/>
      <c r="J111" s="9"/>
      <c r="K111" s="59"/>
      <c r="L111" s="9"/>
      <c r="M111" s="9"/>
    </row>
    <row r="112" ht="14.25" customHeight="1">
      <c r="A112" s="9">
        <f t="shared" si="8"/>
        <v>110</v>
      </c>
      <c r="B112" s="9"/>
      <c r="E112" s="9"/>
      <c r="F112" s="9"/>
      <c r="G112" s="9"/>
      <c r="H112" s="9"/>
      <c r="I112" s="9"/>
      <c r="J112" s="9"/>
      <c r="K112" s="59"/>
      <c r="L112" s="9"/>
      <c r="M112" s="9"/>
    </row>
    <row r="113" ht="14.25" customHeight="1">
      <c r="A113" s="9">
        <f t="shared" si="8"/>
        <v>111</v>
      </c>
      <c r="B113" s="9"/>
      <c r="E113" s="9"/>
      <c r="F113" s="9"/>
      <c r="G113" s="9"/>
      <c r="H113" s="9"/>
      <c r="I113" s="9"/>
      <c r="J113" s="9"/>
      <c r="K113" s="59"/>
      <c r="L113" s="9"/>
      <c r="M113" s="9"/>
    </row>
    <row r="114" ht="14.25" customHeight="1">
      <c r="A114" s="9">
        <f t="shared" si="8"/>
        <v>112</v>
      </c>
      <c r="B114" s="9"/>
      <c r="E114" s="9"/>
      <c r="F114" s="9"/>
      <c r="G114" s="9"/>
      <c r="H114" s="9"/>
      <c r="I114" s="9"/>
      <c r="J114" s="9"/>
      <c r="K114" s="59"/>
      <c r="L114" s="9"/>
      <c r="M114" s="9"/>
    </row>
    <row r="115" ht="14.25" customHeight="1">
      <c r="A115" s="9">
        <f t="shared" si="8"/>
        <v>113</v>
      </c>
      <c r="B115" s="9"/>
      <c r="E115" s="9"/>
      <c r="F115" s="9"/>
      <c r="G115" s="9"/>
      <c r="H115" s="9"/>
      <c r="I115" s="9"/>
      <c r="J115" s="9"/>
      <c r="K115" s="59"/>
      <c r="L115" s="9"/>
      <c r="M115" s="9"/>
    </row>
    <row r="116" ht="14.25" customHeight="1">
      <c r="A116" s="9">
        <f t="shared" si="8"/>
        <v>114</v>
      </c>
      <c r="B116" s="9"/>
      <c r="E116" s="9"/>
      <c r="F116" s="9"/>
      <c r="G116" s="9"/>
      <c r="H116" s="9"/>
      <c r="I116" s="9"/>
      <c r="J116" s="9"/>
      <c r="K116" s="59"/>
      <c r="L116" s="9"/>
      <c r="M116" s="9"/>
    </row>
    <row r="117" ht="14.25" customHeight="1">
      <c r="A117" s="9">
        <f t="shared" si="8"/>
        <v>115</v>
      </c>
      <c r="B117" s="9"/>
      <c r="E117" s="9"/>
      <c r="F117" s="9"/>
      <c r="G117" s="9"/>
      <c r="H117" s="9"/>
      <c r="I117" s="9"/>
      <c r="J117" s="9"/>
      <c r="K117" s="59"/>
      <c r="L117" s="9"/>
      <c r="M117" s="9"/>
    </row>
    <row r="118" ht="14.25" customHeight="1">
      <c r="A118" s="9">
        <f t="shared" si="8"/>
        <v>116</v>
      </c>
      <c r="B118" s="9"/>
      <c r="E118" s="9"/>
      <c r="F118" s="9"/>
      <c r="G118" s="9"/>
      <c r="H118" s="9"/>
      <c r="I118" s="9"/>
      <c r="J118" s="9"/>
      <c r="K118" s="59"/>
      <c r="L118" s="9"/>
      <c r="M118" s="9"/>
    </row>
    <row r="119" ht="14.25" customHeight="1">
      <c r="A119" s="9">
        <f t="shared" si="8"/>
        <v>117</v>
      </c>
      <c r="B119" s="9"/>
      <c r="H119" s="9"/>
      <c r="I119" s="9"/>
      <c r="K119" s="59"/>
      <c r="L119" s="9"/>
      <c r="M119" s="9"/>
    </row>
    <row r="120" ht="14.25" customHeight="1">
      <c r="A120" s="9">
        <f t="shared" si="8"/>
        <v>118</v>
      </c>
      <c r="B120" s="9"/>
      <c r="H120" s="9"/>
      <c r="I120" s="9"/>
      <c r="K120" s="59"/>
      <c r="L120" s="9"/>
      <c r="M120" s="9"/>
    </row>
    <row r="121" ht="14.25" customHeight="1">
      <c r="A121" s="9">
        <f t="shared" si="8"/>
        <v>119</v>
      </c>
      <c r="B121" s="9"/>
      <c r="H121" s="9"/>
      <c r="I121" s="9"/>
      <c r="K121" s="59"/>
      <c r="L121" s="9"/>
      <c r="M121" s="9"/>
    </row>
    <row r="122" ht="14.25" customHeight="1">
      <c r="A122" s="9">
        <f t="shared" si="8"/>
        <v>120</v>
      </c>
      <c r="B122" s="9"/>
      <c r="H122" s="9"/>
      <c r="I122" s="9"/>
      <c r="K122" s="59"/>
      <c r="M122" s="9"/>
    </row>
    <row r="123" ht="14.25" customHeight="1">
      <c r="A123" s="9">
        <f t="shared" si="8"/>
        <v>121</v>
      </c>
      <c r="B123" s="9"/>
      <c r="H123" s="9"/>
      <c r="I123" s="9"/>
      <c r="K123" s="59"/>
    </row>
    <row r="124" ht="14.25" customHeight="1">
      <c r="A124" s="9">
        <f t="shared" si="8"/>
        <v>122</v>
      </c>
      <c r="B124" s="9"/>
      <c r="H124" s="9"/>
      <c r="I124" s="9"/>
    </row>
    <row r="125" ht="14.25" customHeight="1">
      <c r="A125" s="9">
        <f t="shared" si="8"/>
        <v>123</v>
      </c>
      <c r="B125" s="9"/>
      <c r="H125" s="9"/>
      <c r="I125" s="9"/>
    </row>
    <row r="126" ht="14.25" customHeight="1">
      <c r="A126" s="9">
        <f t="shared" si="8"/>
        <v>124</v>
      </c>
      <c r="B126" s="9"/>
      <c r="H126" s="9"/>
      <c r="I126" s="9"/>
    </row>
    <row r="127" ht="14.25" customHeight="1">
      <c r="A127" s="9">
        <f t="shared" si="8"/>
        <v>125</v>
      </c>
      <c r="B127" s="9"/>
      <c r="H127" s="9"/>
      <c r="I127" s="9"/>
    </row>
    <row r="128" ht="14.25" customHeight="1">
      <c r="A128" s="9">
        <f t="shared" si="8"/>
        <v>126</v>
      </c>
      <c r="B128" s="9"/>
      <c r="H128" s="9"/>
      <c r="I128" s="9"/>
    </row>
    <row r="129" ht="14.25" customHeight="1">
      <c r="A129" s="9">
        <f t="shared" si="8"/>
        <v>127</v>
      </c>
      <c r="B129" s="9"/>
      <c r="H129" s="9"/>
      <c r="I129" s="9"/>
    </row>
    <row r="130" ht="14.25" customHeight="1">
      <c r="A130" s="9">
        <f t="shared" si="8"/>
        <v>128</v>
      </c>
      <c r="B130" s="9"/>
      <c r="H130" s="9"/>
      <c r="I130" s="9"/>
    </row>
    <row r="131" ht="14.25" customHeight="1">
      <c r="A131" s="9">
        <f t="shared" si="8"/>
        <v>129</v>
      </c>
      <c r="B131" s="9"/>
      <c r="H131" s="9"/>
      <c r="I131" s="9"/>
    </row>
    <row r="132" ht="14.25" customHeight="1">
      <c r="A132" s="9">
        <f t="shared" si="8"/>
        <v>130</v>
      </c>
      <c r="B132" s="9"/>
      <c r="H132" s="9"/>
      <c r="I132" s="9"/>
    </row>
    <row r="133" ht="14.25" customHeight="1">
      <c r="A133" s="9">
        <f t="shared" si="8"/>
        <v>131</v>
      </c>
      <c r="B133" s="9"/>
      <c r="H133" s="9"/>
      <c r="I133" s="9"/>
    </row>
    <row r="134" ht="14.25" customHeight="1">
      <c r="A134" s="9">
        <f t="shared" si="8"/>
        <v>132</v>
      </c>
      <c r="B134" s="9"/>
      <c r="H134" s="9"/>
      <c r="I134" s="9"/>
    </row>
    <row r="135" ht="14.25" customHeight="1">
      <c r="A135" s="9">
        <f t="shared" si="8"/>
        <v>133</v>
      </c>
      <c r="B135" s="9"/>
      <c r="H135" s="9"/>
      <c r="I135" s="9"/>
    </row>
    <row r="136" ht="14.25" customHeight="1">
      <c r="A136" s="9">
        <f t="shared" si="8"/>
        <v>134</v>
      </c>
      <c r="B136" s="9"/>
      <c r="H136" s="9"/>
      <c r="I136" s="9"/>
    </row>
    <row r="137" ht="14.25" customHeight="1">
      <c r="A137" s="9">
        <f t="shared" si="8"/>
        <v>135</v>
      </c>
      <c r="B137" s="9"/>
      <c r="H137" s="9"/>
      <c r="I137" s="9"/>
    </row>
    <row r="138" ht="14.25" customHeight="1">
      <c r="A138" s="9">
        <f t="shared" si="8"/>
        <v>136</v>
      </c>
      <c r="B138" s="9"/>
      <c r="H138" s="9"/>
      <c r="I138" s="9"/>
    </row>
    <row r="139" ht="14.25" customHeight="1">
      <c r="A139" s="9">
        <f t="shared" si="8"/>
        <v>137</v>
      </c>
      <c r="B139" s="9"/>
      <c r="H139" s="9"/>
      <c r="I139" s="9"/>
    </row>
    <row r="140" ht="14.25" customHeight="1">
      <c r="A140" s="9">
        <f t="shared" si="8"/>
        <v>138</v>
      </c>
      <c r="B140" s="9"/>
      <c r="H140" s="9"/>
      <c r="I140" s="9"/>
    </row>
    <row r="141" ht="14.25" customHeight="1">
      <c r="A141" s="9">
        <f t="shared" si="8"/>
        <v>139</v>
      </c>
      <c r="B141" s="9"/>
      <c r="H141" s="9"/>
      <c r="I141" s="9"/>
    </row>
    <row r="142" ht="14.25" customHeight="1">
      <c r="A142" s="9">
        <f t="shared" si="8"/>
        <v>140</v>
      </c>
      <c r="B142" s="9"/>
      <c r="H142" s="9"/>
      <c r="I142" s="9"/>
    </row>
    <row r="143" ht="14.25" customHeight="1">
      <c r="A143" s="9">
        <f t="shared" si="8"/>
        <v>141</v>
      </c>
      <c r="B143" s="9"/>
      <c r="H143" s="9"/>
      <c r="I143" s="9"/>
    </row>
    <row r="144" ht="14.25" customHeight="1">
      <c r="A144" s="9">
        <f t="shared" si="8"/>
        <v>142</v>
      </c>
      <c r="B144" s="9"/>
      <c r="H144" s="9"/>
      <c r="I144" s="9"/>
    </row>
    <row r="145" ht="14.25" customHeight="1">
      <c r="A145" s="9">
        <f t="shared" si="8"/>
        <v>143</v>
      </c>
      <c r="B145" s="9"/>
      <c r="H145" s="9"/>
      <c r="I145" s="9"/>
    </row>
    <row r="146" ht="14.25" customHeight="1">
      <c r="A146" s="9">
        <f t="shared" si="8"/>
        <v>144</v>
      </c>
      <c r="B146" s="9"/>
      <c r="H146" s="9"/>
      <c r="I146" s="9"/>
    </row>
    <row r="147" ht="14.25" customHeight="1">
      <c r="A147" s="9">
        <f t="shared" si="8"/>
        <v>145</v>
      </c>
      <c r="B147" s="9"/>
      <c r="H147" s="9"/>
      <c r="I147" s="9"/>
    </row>
    <row r="148" ht="14.25" customHeight="1">
      <c r="A148" s="9">
        <f t="shared" si="8"/>
        <v>146</v>
      </c>
      <c r="B148" s="9"/>
      <c r="H148" s="9"/>
      <c r="I148" s="9"/>
    </row>
    <row r="149" ht="14.25" customHeight="1">
      <c r="A149" s="9">
        <f t="shared" si="8"/>
        <v>147</v>
      </c>
      <c r="B149" s="9"/>
      <c r="H149" s="9"/>
      <c r="I149" s="9"/>
    </row>
    <row r="150" ht="14.25" customHeight="1">
      <c r="A150" s="9">
        <f t="shared" si="8"/>
        <v>148</v>
      </c>
      <c r="B150" s="9"/>
      <c r="H150" s="9"/>
      <c r="I150" s="9"/>
    </row>
    <row r="151" ht="14.25" customHeight="1">
      <c r="A151" s="9">
        <f t="shared" si="8"/>
        <v>149</v>
      </c>
      <c r="B151" s="9"/>
    </row>
    <row r="152" ht="14.25" customHeight="1">
      <c r="A152" s="9">
        <f t="shared" si="8"/>
        <v>150</v>
      </c>
    </row>
    <row r="153" ht="14.25" customHeight="1">
      <c r="A153" s="9">
        <f t="shared" si="8"/>
        <v>151</v>
      </c>
    </row>
    <row r="154" ht="14.25" customHeight="1">
      <c r="A154" s="9">
        <f t="shared" si="8"/>
        <v>152</v>
      </c>
    </row>
    <row r="155" ht="14.25" customHeight="1">
      <c r="A155" s="9">
        <f t="shared" si="8"/>
        <v>153</v>
      </c>
    </row>
    <row r="156" ht="14.25" customHeight="1">
      <c r="A156" s="9">
        <f t="shared" si="8"/>
        <v>154</v>
      </c>
    </row>
    <row r="157" ht="14.25" customHeight="1">
      <c r="A157" s="9">
        <f t="shared" si="8"/>
        <v>155</v>
      </c>
    </row>
    <row r="158" ht="14.25" customHeight="1">
      <c r="A158" s="9">
        <f t="shared" si="8"/>
        <v>156</v>
      </c>
    </row>
    <row r="159" ht="14.25" customHeight="1">
      <c r="A159" s="9">
        <f t="shared" si="8"/>
        <v>157</v>
      </c>
    </row>
    <row r="160" ht="14.25" customHeight="1">
      <c r="A160" s="9">
        <f t="shared" si="8"/>
        <v>158</v>
      </c>
    </row>
    <row r="161" ht="14.25" customHeight="1">
      <c r="A161" s="9">
        <f t="shared" si="8"/>
        <v>159</v>
      </c>
    </row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AI$996"/>
  <dataValidations>
    <dataValidation type="list" allowBlank="1" showErrorMessage="1" sqref="B2:C2 B3:B12 B14:B30 B32:B44 B45:C45 B47 B49:B151">
      <formula1>'Suivi Client'!$C$2:$C$200</formula1>
    </dataValidation>
    <dataValidation type="list" allowBlank="1" showErrorMessage="1" sqref="M2 L3:L21 L110:L121">
      <formula1>'LISTE DEROULANTE'!$A$1:$A$4</formula1>
    </dataValidation>
    <dataValidation type="list" allowBlank="1" showErrorMessage="1" sqref="L22:L47 L49:L109">
      <formula1>'LISTE DEROULANTE'!$A$1:$A$5</formula1>
    </dataValidation>
    <dataValidation type="list" allowBlank="1" showErrorMessage="1" sqref="N2 M3:M47 M49:M122">
      <formula1>'LISTE DEROULANTE'!$B$1:$B$3</formula1>
    </dataValidation>
  </dataValidations>
  <printOptions/>
  <pageMargins bottom="0.75" footer="0.0" header="0.0" left="0.7" right="0.7" top="0.75"/>
  <pageSetup paperSize="9" scale="4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5.29"/>
    <col customWidth="1" min="3" max="3" width="19.14"/>
    <col customWidth="1" min="7" max="7" width="13.29"/>
  </cols>
  <sheetData>
    <row r="1" ht="15.0" customHeight="1">
      <c r="A1" s="60"/>
      <c r="B1" s="60"/>
      <c r="C1" s="60"/>
      <c r="D1" s="60"/>
      <c r="E1" s="60"/>
      <c r="F1" s="61"/>
      <c r="G1" s="61"/>
      <c r="H1" s="61"/>
      <c r="I1" s="62"/>
      <c r="J1" s="62"/>
      <c r="K1" s="62"/>
      <c r="L1" s="60"/>
    </row>
    <row r="2" ht="15.0" customHeight="1">
      <c r="A2" s="60"/>
      <c r="B2" s="60"/>
      <c r="D2" s="60"/>
      <c r="J2" s="60"/>
      <c r="K2" s="60"/>
      <c r="L2" s="60"/>
    </row>
    <row r="3" ht="84.0" customHeight="1">
      <c r="A3" s="63"/>
      <c r="B3" s="63"/>
      <c r="C3" s="63"/>
      <c r="D3" s="63"/>
      <c r="E3" s="63"/>
      <c r="F3" s="63"/>
      <c r="G3" s="63"/>
      <c r="H3" s="63"/>
      <c r="I3" s="60"/>
      <c r="J3" s="60"/>
      <c r="K3" s="60"/>
      <c r="L3" s="60"/>
    </row>
    <row r="4" ht="30.75" customHeight="1">
      <c r="A4" s="63"/>
      <c r="B4" s="64"/>
      <c r="C4" s="63"/>
      <c r="D4" s="63"/>
      <c r="E4" s="65"/>
      <c r="F4" s="65"/>
      <c r="G4" s="65"/>
      <c r="H4" s="63"/>
      <c r="I4" s="60"/>
      <c r="J4" s="60"/>
      <c r="K4" s="60"/>
      <c r="L4" s="60"/>
    </row>
    <row r="5" ht="31.5" customHeight="1">
      <c r="A5" s="63"/>
      <c r="B5" s="65"/>
      <c r="C5" s="66"/>
      <c r="D5" s="65"/>
      <c r="E5" s="67" t="s">
        <v>531</v>
      </c>
      <c r="F5" s="68"/>
      <c r="G5" s="68"/>
      <c r="H5" s="68"/>
      <c r="I5" s="69"/>
      <c r="J5" s="60"/>
      <c r="K5" s="70"/>
      <c r="L5" s="60"/>
    </row>
    <row r="6" ht="15.0" customHeight="1">
      <c r="A6" s="65"/>
      <c r="B6" s="65"/>
      <c r="C6" s="65"/>
      <c r="D6" s="65"/>
      <c r="E6" s="65"/>
      <c r="F6" s="65"/>
      <c r="G6" s="65"/>
      <c r="H6" s="65"/>
      <c r="I6" s="70"/>
      <c r="J6" s="60"/>
      <c r="K6" s="70"/>
      <c r="L6" s="60"/>
    </row>
    <row r="7" ht="15.0" customHeight="1">
      <c r="A7" s="71"/>
      <c r="B7" s="69"/>
      <c r="C7" s="71"/>
      <c r="D7" s="69"/>
      <c r="E7" s="65"/>
      <c r="F7" s="65"/>
      <c r="G7" s="71"/>
      <c r="H7" s="69"/>
      <c r="I7" s="71"/>
      <c r="J7" s="68"/>
      <c r="K7" s="69"/>
      <c r="L7" s="63"/>
    </row>
    <row r="8" ht="21.0" customHeight="1">
      <c r="A8" s="71"/>
      <c r="B8" s="69"/>
      <c r="C8" s="71"/>
      <c r="D8" s="69"/>
      <c r="E8" s="65"/>
      <c r="F8" s="65"/>
      <c r="G8" s="73" t="s">
        <v>533</v>
      </c>
      <c r="H8" s="69"/>
      <c r="I8" s="74" t="str">
        <f>VLOOKUP(C16,'Suivi Facturation 2023'!$A$1:$K$10002,2,FALSE)</f>
        <v>JOELLE DUBARBIER</v>
      </c>
      <c r="J8" s="75"/>
      <c r="K8" s="76"/>
    </row>
    <row r="9" ht="24.75" customHeight="1">
      <c r="A9" s="71"/>
      <c r="B9" s="69"/>
      <c r="C9" s="71"/>
      <c r="D9" s="69"/>
      <c r="E9" s="65"/>
      <c r="F9" s="65"/>
      <c r="G9" s="73" t="s">
        <v>3</v>
      </c>
      <c r="H9" s="69"/>
      <c r="I9" s="74" t="str">
        <f>VLOOKUP(I8,'Suivi Client'!C2:H2960,3,FALSE)</f>
        <v/>
      </c>
      <c r="J9" s="63"/>
      <c r="K9" s="63"/>
      <c r="L9" s="63"/>
    </row>
    <row r="10" ht="19.5" customHeight="1">
      <c r="A10" s="71"/>
      <c r="B10" s="69"/>
      <c r="C10" s="71"/>
      <c r="D10" s="69"/>
      <c r="E10" s="65"/>
      <c r="F10" s="65"/>
      <c r="G10" s="77"/>
      <c r="H10" s="69"/>
      <c r="I10" s="77" t="str">
        <f>VLOOKUP(I8,'Suivi Client'!C2:H2960,4,FALSE)</f>
        <v/>
      </c>
      <c r="J10" s="75" t="str">
        <f>VLOOKUP(I8,'Suivi Client'!C2:H2960,5,FALSE)</f>
        <v>SAINT JEAN DE LUZ</v>
      </c>
      <c r="K10" s="78"/>
      <c r="L10" s="63"/>
    </row>
    <row r="11" ht="15.0" customHeight="1">
      <c r="A11" s="71"/>
      <c r="B11" s="69"/>
      <c r="C11" s="71"/>
      <c r="D11" s="69"/>
      <c r="E11" s="65"/>
      <c r="F11" s="65"/>
      <c r="G11" s="73"/>
      <c r="H11" s="69"/>
      <c r="I11" s="77"/>
      <c r="J11" s="68"/>
      <c r="K11" s="69"/>
      <c r="L11" s="63"/>
    </row>
    <row r="12">
      <c r="A12" s="71"/>
      <c r="B12" s="69"/>
      <c r="C12" s="65"/>
      <c r="D12" s="65"/>
      <c r="E12" s="65"/>
      <c r="F12" s="65"/>
      <c r="G12" s="73" t="s">
        <v>534</v>
      </c>
      <c r="H12" s="69"/>
      <c r="I12" s="79" t="str">
        <f>IF(VLOOKUP(I8,'Suivi Client'!$C$2:$H$2000,2,FALSE)=0,"",VLOOKUP(I8,'Suivi Client'!$C$2:$H$2000,2,FALSE))</f>
        <v/>
      </c>
      <c r="J12" s="80"/>
      <c r="K12" s="80"/>
      <c r="L12" s="63"/>
    </row>
    <row r="13">
      <c r="A13" s="81"/>
      <c r="B13" s="69"/>
      <c r="C13" s="81"/>
      <c r="D13" s="69"/>
      <c r="E13" s="65"/>
      <c r="F13" s="65"/>
      <c r="G13" s="71"/>
      <c r="H13" s="69"/>
      <c r="I13" s="71"/>
      <c r="J13" s="68"/>
      <c r="K13" s="69"/>
      <c r="L13" s="63"/>
    </row>
    <row r="14">
      <c r="A14" s="81"/>
      <c r="B14" s="69"/>
      <c r="C14" s="81"/>
      <c r="D14" s="69"/>
      <c r="E14" s="65"/>
      <c r="F14" s="65"/>
      <c r="G14" s="71"/>
      <c r="H14" s="69"/>
      <c r="I14" s="65"/>
      <c r="J14" s="63"/>
      <c r="K14" s="65"/>
      <c r="L14" s="63"/>
      <c r="M14" s="11">
        <v>23.0</v>
      </c>
    </row>
    <row r="15">
      <c r="A15" s="150"/>
      <c r="B15" s="83"/>
      <c r="C15" s="84"/>
      <c r="D15" s="85"/>
      <c r="E15" s="65"/>
      <c r="F15" s="65"/>
      <c r="G15" s="65"/>
      <c r="H15" s="86"/>
      <c r="I15" s="87"/>
      <c r="J15" s="60"/>
      <c r="K15" s="70"/>
      <c r="L15" s="60"/>
    </row>
    <row r="16">
      <c r="A16" s="88" t="s">
        <v>544</v>
      </c>
      <c r="B16" s="89"/>
      <c r="C16" s="90">
        <v>47.0</v>
      </c>
      <c r="D16" s="85"/>
      <c r="E16" s="70"/>
      <c r="F16" s="70"/>
      <c r="G16" s="70"/>
      <c r="H16" s="87"/>
      <c r="I16" s="87"/>
      <c r="J16" s="60"/>
      <c r="K16" s="70"/>
      <c r="L16" s="60"/>
    </row>
    <row r="17">
      <c r="A17" s="91" t="s">
        <v>442</v>
      </c>
      <c r="B17" s="92"/>
      <c r="C17" s="151">
        <v>45260.0</v>
      </c>
      <c r="E17" s="70"/>
      <c r="F17" s="70"/>
      <c r="G17" s="70"/>
      <c r="H17" s="87"/>
      <c r="I17" s="87"/>
      <c r="J17" s="60"/>
      <c r="K17" s="70"/>
      <c r="L17" s="60"/>
    </row>
    <row r="18">
      <c r="A18" s="94"/>
      <c r="B18" s="94"/>
      <c r="C18" s="152"/>
      <c r="D18" s="60"/>
      <c r="E18" s="70"/>
      <c r="F18" s="70"/>
      <c r="G18" s="70"/>
      <c r="H18" s="87"/>
      <c r="I18" s="87"/>
      <c r="J18" s="60"/>
      <c r="K18" s="70"/>
      <c r="L18" s="60"/>
    </row>
    <row r="19">
      <c r="A19" s="87"/>
      <c r="B19" s="87"/>
      <c r="C19" s="60"/>
      <c r="D19" s="96"/>
      <c r="E19" s="63"/>
      <c r="F19" s="70"/>
      <c r="G19" s="70"/>
      <c r="H19" s="87"/>
      <c r="I19" s="87"/>
      <c r="J19" s="60"/>
      <c r="K19" s="70"/>
      <c r="L19" s="60"/>
    </row>
    <row r="20">
      <c r="A20" s="70"/>
      <c r="B20" s="97"/>
      <c r="C20" s="97"/>
      <c r="D20" s="97"/>
      <c r="E20" s="97"/>
      <c r="F20" s="97"/>
      <c r="G20" s="97"/>
      <c r="H20" s="70"/>
      <c r="I20" s="70"/>
      <c r="J20" s="70"/>
      <c r="K20" s="97"/>
      <c r="L20" s="60"/>
    </row>
    <row r="21" ht="15.75" customHeight="1">
      <c r="A21" s="98" t="s">
        <v>535</v>
      </c>
      <c r="B21" s="99" t="s">
        <v>536</v>
      </c>
      <c r="C21" s="100"/>
      <c r="D21" s="100"/>
      <c r="E21" s="100"/>
      <c r="F21" s="100"/>
      <c r="G21" s="101"/>
      <c r="H21" s="102" t="s">
        <v>537</v>
      </c>
      <c r="I21" s="103" t="s">
        <v>449</v>
      </c>
      <c r="J21" s="101"/>
      <c r="K21" s="103" t="s">
        <v>538</v>
      </c>
      <c r="L21" s="101"/>
    </row>
    <row r="22" ht="15.75" customHeight="1">
      <c r="A22" s="104"/>
      <c r="B22" s="105"/>
      <c r="C22" s="106"/>
      <c r="D22" s="106"/>
      <c r="E22" s="106"/>
      <c r="F22" s="106"/>
      <c r="G22" s="107"/>
      <c r="H22" s="104"/>
      <c r="I22" s="105"/>
      <c r="J22" s="107"/>
      <c r="K22" s="105"/>
      <c r="L22" s="107"/>
    </row>
    <row r="23" ht="15.75" customHeight="1">
      <c r="A23" s="108" t="str">
        <f>IF(VLOOKUP($C$16,'Suivi Facturation 2023'!$A$2:$M$1096,3,FALSE)&gt;0,"0,75","")</f>
        <v/>
      </c>
      <c r="B23" s="109" t="str">
        <f>IF(VLOOKUP($C$16,'Suivi Facturation 2023'!$A$2:$M$978,3,FALSE)&gt;0,"Bouteille CHAMPAGNE SELECTION","")</f>
        <v/>
      </c>
      <c r="C23" s="110"/>
      <c r="D23" s="110"/>
      <c r="E23" s="110"/>
      <c r="F23" s="110"/>
      <c r="G23" s="111"/>
      <c r="H23" s="112" t="str">
        <f>IF(VLOOKUP($C$16,'Suivi Facturation 2023'!$A$2:$M$1096,3,FALSE)&gt;0,VLOOKUP($C$16,'Suivi Facturation 2023'!$A$2:$M$1096,3,FALSE),"")</f>
        <v/>
      </c>
      <c r="I23" s="113" t="str">
        <f>IF(VLOOKUP($C$16,'Suivi Facturation 2023'!$A$2:$M$1096,3,FALSE)&gt;0,'Suivi Facturation 2023'!S2,"")</f>
        <v/>
      </c>
      <c r="J23" s="114"/>
      <c r="K23" s="115" t="str">
        <f>IF(VLOOKUP($C$16,'Suivi Facturation 2023'!$A$2:$M$1096,3,FALSE)&gt;0,I23*H23,"")</f>
        <v/>
      </c>
      <c r="L23" s="114"/>
    </row>
    <row r="24" ht="15.75" customHeight="1">
      <c r="A24" s="108" t="str">
        <f>IF(VLOOKUP($C$16,'Suivi Facturation 2023'!$A$2:$M$1096,4,FALSE)&gt;0,"0,75","")</f>
        <v>0,75</v>
      </c>
      <c r="B24" s="116" t="str">
        <f>IF(VLOOKUP($C$16,'Suivi Facturation 2023'!$A$2:$M$978,4,FALSE)&gt;0,"Bouteille CHAMPAGNE ROSE","")</f>
        <v>Bouteille CHAMPAGNE ROSE</v>
      </c>
      <c r="C24" s="68"/>
      <c r="D24" s="68"/>
      <c r="E24" s="68"/>
      <c r="F24" s="68"/>
      <c r="G24" s="114"/>
      <c r="H24" s="112">
        <f>IF(VLOOKUP($C$16,'Suivi Facturation 2023'!$A$2:$M$1096,4,FALSE)&gt;0,VLOOKUP($C$16,'Suivi Facturation 2023'!$A$2:$M$1096,4,FALSE),"")</f>
        <v>18</v>
      </c>
      <c r="I24" s="113">
        <f>IF(VLOOKUP($C$16,'Suivi Facturation 2023'!$A$2:$M$1096,4,FALSE)&gt;0,'Suivi Facturation 2023'!S3,"")</f>
        <v>19</v>
      </c>
      <c r="J24" s="114"/>
      <c r="K24" s="117">
        <f>IF(VLOOKUP($C$16,'Suivi Facturation 2023'!$A$2:$M$1096,4,FALSE)&gt;0,I24*H24,"")</f>
        <v>342</v>
      </c>
      <c r="L24" s="114"/>
    </row>
    <row r="25" ht="15.75" customHeight="1">
      <c r="A25" s="108" t="str">
        <f>IF(VLOOKUP($C$16,'Suivi Facturation 2023'!$A$2:$M$1096,5,FALSE)&gt;0,"0,75","")</f>
        <v>0,75</v>
      </c>
      <c r="B25" s="116" t="str">
        <f>IF(VLOOKUP($C$16,'Suivi Facturation 2023'!$A$2:$M$978,5,FALSE)&gt;0,"Bouteille CHAMPAGNE BLANC DE BLANC","")</f>
        <v>Bouteille CHAMPAGNE BLANC DE BLANC</v>
      </c>
      <c r="C25" s="68"/>
      <c r="D25" s="68"/>
      <c r="E25" s="68"/>
      <c r="F25" s="68"/>
      <c r="G25" s="114"/>
      <c r="H25" s="112">
        <f>IF(VLOOKUP($C$16,'Suivi Facturation 2023'!$A$2:$M$1996,5,FALSE)&gt;0,VLOOKUP($C$16,'Suivi Facturation 2023'!$A$2:$M$1996,5,FALSE),"")</f>
        <v>18</v>
      </c>
      <c r="I25" s="113">
        <f>IF(VLOOKUP($C$16,'Suivi Facturation 2023'!$A$2:$M$1096,5,FALSE)&gt;0,'Suivi Facturation 2023'!S4,"")</f>
        <v>18.5</v>
      </c>
      <c r="J25" s="114"/>
      <c r="K25" s="81">
        <f>IF(VLOOKUP($C$16,'Suivi Facturation 2023'!$A$2:$M$1096,5,FALSE)&gt;0,I25*H25,"")</f>
        <v>333</v>
      </c>
      <c r="L25" s="114"/>
    </row>
    <row r="26" ht="15.75" customHeight="1">
      <c r="A26" s="108" t="str">
        <f>IF(VLOOKUP($C$16,'Suivi Facturation 2023'!$A$2:$M$1096,6,FALSE)&gt;0,"0,75","")</f>
        <v/>
      </c>
      <c r="B26" s="116" t="str">
        <f>IF(VLOOKUP($C$16,'Suivi Facturation 2023'!$A$2:$M$1096,6,FALSE)&gt;0,"Bouteille CHAMPAGNE PRESTIGE","")</f>
        <v/>
      </c>
      <c r="C26" s="68"/>
      <c r="D26" s="68"/>
      <c r="E26" s="68"/>
      <c r="F26" s="68"/>
      <c r="G26" s="114"/>
      <c r="H26" s="112" t="str">
        <f>IF(VLOOKUP($C$16,'Suivi Facturation 2023'!$A$2:$M$1096,6,FALSE)&gt;0,VLOOKUP($C$16,'Suivi Facturation 2023'!$A$2:$M$1096,6,FALSE),"")</f>
        <v/>
      </c>
      <c r="I26" s="113" t="str">
        <f>IF(VLOOKUP($C$16,'Suivi Facturation 2023'!$A$2:$M$1096,6,FALSE)&gt;0,'Suivi Facturation 2023'!S5,"")</f>
        <v/>
      </c>
      <c r="J26" s="114"/>
      <c r="K26" s="81" t="str">
        <f>IF(VLOOKUP($C$16,'Suivi Facturation 2023'!$A$2:$M$1096,6,FALSE)&gt;0,I26*H26,"")</f>
        <v/>
      </c>
      <c r="L26" s="114"/>
    </row>
    <row r="27" ht="15.75" customHeight="1">
      <c r="A27" s="108" t="str">
        <f>IF(VLOOKUP($C$16,'Suivi Facturation 2023'!$A$2:$M$1096,7,FALSE)&gt;0,"1,5","")</f>
        <v/>
      </c>
      <c r="B27" s="116" t="str">
        <f>IF(VLOOKUP($C$16,'Suivi Facturation 2023'!$A$2:$M$1096,7,FALSE)&gt;0,"MAGNUM SELECTION","")</f>
        <v/>
      </c>
      <c r="C27" s="68"/>
      <c r="D27" s="68"/>
      <c r="E27" s="68"/>
      <c r="F27" s="68"/>
      <c r="G27" s="114"/>
      <c r="H27" s="154"/>
      <c r="I27" s="113" t="str">
        <f>IF(VLOOKUP($C$16,'Suivi Facturation 2023'!$A$2:$M$1096,7,FALSE)&gt;0,'Suivi Facturation 2023'!S6,"")</f>
        <v/>
      </c>
      <c r="J27" s="114"/>
      <c r="K27" s="81" t="str">
        <f>IF(VLOOKUP($C$16,'Suivi Facturation 2023'!$A$2:$M$1096,7,FALSE)&gt;0,I27*H27,"")</f>
        <v/>
      </c>
      <c r="L27" s="114"/>
    </row>
    <row r="28" ht="15.75" customHeight="1">
      <c r="B28" s="116" t="str">
        <f>IF(VLOOKUP($C$16,'Suivi Facturation 2023'!$A$2:$P$1978,16,FALSE)&gt;0,"PRIX LIVRAISON","")</f>
        <v>PRIX LIVRAISON</v>
      </c>
      <c r="C28" s="68"/>
      <c r="D28" s="68"/>
      <c r="E28" s="68"/>
      <c r="F28" s="68"/>
      <c r="G28" s="114"/>
      <c r="H28" s="118"/>
      <c r="K28" s="119">
        <f>IF(VLOOKUP($C$16,'Suivi Facturation 2023'!$A$2:$P$1978,16,FALSE)&gt;0,VLOOKUP($C$16,'Suivi Facturation 2023'!$A$2:$P$1978,16,FALSE),"")</f>
        <v>65</v>
      </c>
      <c r="L28" s="114"/>
    </row>
    <row r="29" ht="90.75" customHeight="1">
      <c r="A29" s="120"/>
      <c r="B29" s="121"/>
      <c r="C29" s="121"/>
      <c r="D29" s="121"/>
      <c r="E29" s="122"/>
      <c r="F29" s="122"/>
      <c r="G29" s="122"/>
      <c r="H29" s="123"/>
      <c r="I29" s="122"/>
      <c r="J29" s="112"/>
      <c r="K29" s="122"/>
      <c r="L29" s="112"/>
    </row>
    <row r="30" ht="49.5" customHeight="1">
      <c r="A30" s="124"/>
      <c r="B30" s="71"/>
      <c r="C30" s="68"/>
      <c r="D30" s="69"/>
      <c r="E30" s="126"/>
      <c r="F30" s="126"/>
      <c r="G30" s="126"/>
      <c r="H30" s="127"/>
      <c r="I30" s="71"/>
      <c r="J30" s="114"/>
      <c r="K30" s="71"/>
      <c r="L30" s="114"/>
    </row>
    <row r="31" ht="15.75" customHeight="1">
      <c r="A31" s="124"/>
      <c r="B31" s="71"/>
      <c r="C31" s="68"/>
      <c r="D31" s="69"/>
      <c r="E31" s="126"/>
      <c r="F31" s="126"/>
      <c r="G31" s="126"/>
      <c r="H31" s="127"/>
      <c r="I31" s="71"/>
      <c r="J31" s="114"/>
      <c r="K31" s="71"/>
      <c r="L31" s="114"/>
    </row>
    <row r="32" ht="27.75" customHeight="1">
      <c r="A32" s="124"/>
      <c r="B32" s="71"/>
      <c r="C32" s="68"/>
      <c r="D32" s="69"/>
      <c r="E32" s="126"/>
      <c r="F32" s="126"/>
      <c r="G32" s="126"/>
      <c r="H32" s="127"/>
      <c r="I32" s="71"/>
      <c r="J32" s="114"/>
      <c r="K32" s="71"/>
      <c r="L32" s="114"/>
    </row>
    <row r="33" ht="15.75" customHeight="1">
      <c r="A33" s="124"/>
      <c r="B33" s="71"/>
      <c r="C33" s="68"/>
      <c r="D33" s="69"/>
      <c r="E33" s="126"/>
      <c r="F33" s="126"/>
      <c r="G33" s="126"/>
      <c r="H33" s="127"/>
      <c r="I33" s="71"/>
      <c r="J33" s="114"/>
      <c r="K33" s="71"/>
      <c r="L33" s="114"/>
    </row>
    <row r="34" ht="15.75" customHeight="1">
      <c r="A34" s="124"/>
      <c r="B34" s="71"/>
      <c r="C34" s="68"/>
      <c r="D34" s="69"/>
      <c r="E34" s="126"/>
      <c r="F34" s="126"/>
      <c r="G34" s="126"/>
      <c r="H34" s="127"/>
      <c r="I34" s="71"/>
      <c r="J34" s="114"/>
      <c r="K34" s="71"/>
      <c r="L34" s="114"/>
    </row>
    <row r="35" ht="15.75" customHeight="1">
      <c r="A35" s="128"/>
      <c r="B35" s="129"/>
      <c r="C35" s="130"/>
      <c r="D35" s="92"/>
      <c r="E35" s="131"/>
      <c r="F35" s="131"/>
      <c r="G35" s="131"/>
      <c r="H35" s="132"/>
      <c r="I35" s="129"/>
      <c r="J35" s="133"/>
      <c r="K35" s="129"/>
      <c r="L35" s="133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</row>
    <row r="37" ht="15.75" customHeight="1">
      <c r="A37" s="70"/>
      <c r="B37" s="70"/>
      <c r="C37" s="70"/>
      <c r="D37" s="70"/>
      <c r="E37" s="70"/>
      <c r="F37" s="70"/>
      <c r="G37" s="70"/>
      <c r="H37" s="60"/>
      <c r="I37" s="60"/>
      <c r="J37" s="60"/>
      <c r="K37" s="134" t="s">
        <v>539</v>
      </c>
      <c r="L37" s="135">
        <f>SUM(K23:L30)-L38</f>
        <v>616.6666667</v>
      </c>
    </row>
    <row r="38" ht="15.75" customHeight="1">
      <c r="A38" s="70"/>
      <c r="B38" s="70"/>
      <c r="C38" s="70"/>
      <c r="D38" s="70"/>
      <c r="E38" s="70"/>
      <c r="F38" s="70"/>
      <c r="G38" s="70"/>
      <c r="H38" s="60"/>
      <c r="I38" s="60"/>
      <c r="J38" s="60"/>
      <c r="K38" s="134" t="s">
        <v>540</v>
      </c>
      <c r="L38" s="135">
        <f>IFERROR(SUM(K23:L29)-SUM(K23:L29)/1.2,"")</f>
        <v>123.3333333</v>
      </c>
    </row>
    <row r="39" ht="15.75" customHeight="1">
      <c r="A39" s="70"/>
      <c r="B39" s="70"/>
      <c r="C39" s="70"/>
      <c r="D39" s="70"/>
      <c r="E39" s="70"/>
      <c r="F39" s="70"/>
      <c r="G39" s="70"/>
      <c r="H39" s="60"/>
      <c r="I39" s="60"/>
      <c r="J39" s="60"/>
      <c r="K39" s="134"/>
      <c r="L39" s="136"/>
    </row>
    <row r="40" ht="15.75" customHeight="1">
      <c r="A40" s="70"/>
      <c r="B40" s="70"/>
      <c r="C40" s="70"/>
      <c r="D40" s="70"/>
      <c r="E40" s="70"/>
      <c r="F40" s="70"/>
      <c r="G40" s="70"/>
      <c r="H40" s="60"/>
      <c r="I40" s="60"/>
      <c r="J40" s="60"/>
      <c r="K40" s="134" t="s">
        <v>541</v>
      </c>
      <c r="L40" s="137">
        <f>SUM(K23:L30)</f>
        <v>740</v>
      </c>
    </row>
    <row r="41" ht="15.75" customHeight="1">
      <c r="A41" s="70"/>
      <c r="B41" s="70"/>
      <c r="C41" s="70"/>
      <c r="D41" s="70"/>
      <c r="E41" s="70"/>
      <c r="F41" s="70"/>
      <c r="G41" s="70"/>
      <c r="H41" s="60"/>
      <c r="I41" s="60"/>
      <c r="J41" s="60"/>
      <c r="K41" s="60"/>
      <c r="L41" s="60"/>
    </row>
    <row r="42" ht="15.75" customHeight="1">
      <c r="A42" s="139" t="s">
        <v>542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1"/>
    </row>
    <row r="43" ht="15.75" customHeight="1">
      <c r="A43" s="142"/>
      <c r="L43" s="143"/>
    </row>
    <row r="44" ht="15.75" customHeight="1">
      <c r="A44" s="142"/>
      <c r="L44" s="143"/>
    </row>
    <row r="45" ht="15.75" customHeight="1">
      <c r="A45" s="142"/>
      <c r="L45" s="143"/>
    </row>
    <row r="46" ht="64.5" customHeight="1">
      <c r="A46" s="142"/>
      <c r="L46" s="143"/>
    </row>
    <row r="47" ht="15.75" hidden="1" customHeight="1">
      <c r="A47" s="144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6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</row>
    <row r="54" ht="15.75" customHeight="1">
      <c r="A54" s="147" t="s">
        <v>543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48"/>
    </row>
    <row r="55" ht="15.75" customHeight="1">
      <c r="A55" s="142"/>
      <c r="L55" s="143"/>
    </row>
    <row r="56" ht="57.0" customHeight="1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6"/>
    </row>
    <row r="57" ht="37.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2">
    <mergeCell ref="K27:L27"/>
    <mergeCell ref="K28:L28"/>
    <mergeCell ref="I23:J23"/>
    <mergeCell ref="I24:J24"/>
    <mergeCell ref="I25:J25"/>
    <mergeCell ref="K25:L25"/>
    <mergeCell ref="I26:J26"/>
    <mergeCell ref="K26:L26"/>
    <mergeCell ref="I27:J27"/>
    <mergeCell ref="B21:G22"/>
    <mergeCell ref="H21:H22"/>
    <mergeCell ref="I21:J22"/>
    <mergeCell ref="K21:L22"/>
    <mergeCell ref="B23:G23"/>
    <mergeCell ref="K23:L23"/>
    <mergeCell ref="K24:L24"/>
    <mergeCell ref="B24:G24"/>
    <mergeCell ref="B25:G25"/>
    <mergeCell ref="B26:G26"/>
    <mergeCell ref="B27:G27"/>
    <mergeCell ref="B28:G28"/>
    <mergeCell ref="I30:J30"/>
    <mergeCell ref="K30:L30"/>
    <mergeCell ref="E5:I5"/>
    <mergeCell ref="A7:B7"/>
    <mergeCell ref="C7:D7"/>
    <mergeCell ref="G7:H7"/>
    <mergeCell ref="I7:K7"/>
    <mergeCell ref="C8:D8"/>
    <mergeCell ref="G8:H8"/>
    <mergeCell ref="A8:B8"/>
    <mergeCell ref="A9:B9"/>
    <mergeCell ref="C9:D9"/>
    <mergeCell ref="G9:H9"/>
    <mergeCell ref="A10:B10"/>
    <mergeCell ref="C10:D10"/>
    <mergeCell ref="G10:H10"/>
    <mergeCell ref="G12:H12"/>
    <mergeCell ref="G13:H13"/>
    <mergeCell ref="G14:H14"/>
    <mergeCell ref="A11:B11"/>
    <mergeCell ref="C11:D11"/>
    <mergeCell ref="G11:H11"/>
    <mergeCell ref="I11:K11"/>
    <mergeCell ref="A12:B12"/>
    <mergeCell ref="C13:D13"/>
    <mergeCell ref="I13:K13"/>
    <mergeCell ref="A13:B13"/>
    <mergeCell ref="A14:B14"/>
    <mergeCell ref="C14:D14"/>
    <mergeCell ref="A15:C15"/>
    <mergeCell ref="A16:B16"/>
    <mergeCell ref="A17:B17"/>
    <mergeCell ref="A21:A22"/>
    <mergeCell ref="B30:D30"/>
    <mergeCell ref="B31:D31"/>
    <mergeCell ref="B32:D32"/>
    <mergeCell ref="B33:D33"/>
    <mergeCell ref="B34:D34"/>
    <mergeCell ref="B35:D35"/>
    <mergeCell ref="I34:J34"/>
    <mergeCell ref="I35:J35"/>
    <mergeCell ref="A42:L47"/>
    <mergeCell ref="A54:L56"/>
    <mergeCell ref="I31:J31"/>
    <mergeCell ref="K31:L31"/>
    <mergeCell ref="I32:J32"/>
    <mergeCell ref="K32:L32"/>
    <mergeCell ref="I33:J33"/>
    <mergeCell ref="K33:L33"/>
    <mergeCell ref="K34:L34"/>
    <mergeCell ref="K35:L35"/>
  </mergeCells>
  <conditionalFormatting sqref="C17">
    <cfRule type="notContainsBlanks" dxfId="3" priority="1">
      <formula>LEN(TRIM(C17))&gt;0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43"/>
    <col customWidth="1" min="2" max="2" width="15.29"/>
    <col customWidth="1" min="3" max="3" width="19.14"/>
    <col customWidth="1" min="7" max="7" width="13.29"/>
  </cols>
  <sheetData>
    <row r="1" ht="15.0" customHeight="1">
      <c r="A1" s="60"/>
      <c r="B1" s="60"/>
      <c r="C1" s="60"/>
      <c r="D1" s="60"/>
      <c r="E1" s="60"/>
      <c r="F1" s="61"/>
      <c r="G1" s="61"/>
      <c r="H1" s="61"/>
      <c r="I1" s="62"/>
      <c r="J1" s="62"/>
      <c r="K1" s="62"/>
      <c r="L1" s="60"/>
    </row>
    <row r="2" ht="15.0" customHeight="1">
      <c r="A2" s="60"/>
      <c r="B2" s="60"/>
      <c r="D2" s="60"/>
      <c r="J2" s="60"/>
      <c r="K2" s="60"/>
      <c r="L2" s="60"/>
    </row>
    <row r="3" ht="84.0" customHeight="1">
      <c r="A3" s="63"/>
      <c r="B3" s="63"/>
      <c r="C3" s="63"/>
      <c r="D3" s="63"/>
      <c r="E3" s="63"/>
      <c r="F3" s="63"/>
      <c r="G3" s="63"/>
      <c r="H3" s="63"/>
      <c r="I3" s="60"/>
      <c r="J3" s="60"/>
      <c r="K3" s="60"/>
      <c r="L3" s="60"/>
    </row>
    <row r="4" ht="30.75" customHeight="1">
      <c r="A4" s="63"/>
      <c r="B4" s="64"/>
      <c r="C4" s="63"/>
      <c r="D4" s="63"/>
      <c r="E4" s="65"/>
      <c r="F4" s="65"/>
      <c r="G4" s="65"/>
      <c r="H4" s="63"/>
      <c r="I4" s="60"/>
      <c r="J4" s="60"/>
      <c r="K4" s="60"/>
      <c r="L4" s="60"/>
    </row>
    <row r="5" ht="31.5" customHeight="1">
      <c r="A5" s="63"/>
      <c r="B5" s="65"/>
      <c r="C5" s="66"/>
      <c r="D5" s="65"/>
      <c r="E5" s="67" t="s">
        <v>531</v>
      </c>
      <c r="F5" s="68"/>
      <c r="G5" s="68"/>
      <c r="H5" s="68"/>
      <c r="I5" s="69"/>
      <c r="J5" s="60"/>
      <c r="K5" s="70"/>
      <c r="L5" s="60"/>
    </row>
    <row r="6" ht="15.0" customHeight="1">
      <c r="A6" s="65"/>
      <c r="B6" s="65"/>
      <c r="C6" s="65"/>
      <c r="D6" s="65"/>
      <c r="E6" s="65"/>
      <c r="F6" s="65"/>
      <c r="G6" s="65"/>
      <c r="H6" s="65"/>
      <c r="I6" s="70"/>
      <c r="J6" s="60"/>
      <c r="K6" s="70"/>
      <c r="L6" s="60"/>
    </row>
    <row r="7" ht="15.0" customHeight="1">
      <c r="A7" s="71"/>
      <c r="B7" s="69"/>
      <c r="C7" s="71"/>
      <c r="D7" s="69"/>
      <c r="E7" s="65"/>
      <c r="F7" s="65"/>
      <c r="G7" s="71"/>
      <c r="H7" s="69"/>
      <c r="I7" s="71"/>
      <c r="J7" s="68"/>
      <c r="K7" s="69"/>
      <c r="L7" s="63"/>
    </row>
    <row r="8" ht="21.0" customHeight="1">
      <c r="A8" s="71"/>
      <c r="B8" s="69"/>
      <c r="C8" s="71"/>
      <c r="D8" s="69"/>
      <c r="E8" s="65"/>
      <c r="F8" s="65"/>
      <c r="G8" s="73" t="s">
        <v>533</v>
      </c>
      <c r="H8" s="69"/>
      <c r="I8" s="74" t="str">
        <f>VLOOKUP(C16,'Suivi Facturation 2023'!$A$1:$K$10002,2,FALSE)</f>
        <v/>
      </c>
      <c r="J8" s="75"/>
      <c r="K8" s="76"/>
    </row>
    <row r="9" ht="24.75" customHeight="1">
      <c r="A9" s="71"/>
      <c r="B9" s="69"/>
      <c r="C9" s="71"/>
      <c r="D9" s="69"/>
      <c r="E9" s="65"/>
      <c r="F9" s="65"/>
      <c r="G9" s="73" t="s">
        <v>3</v>
      </c>
      <c r="H9" s="69"/>
      <c r="I9" s="74" t="str">
        <f>VLOOKUP(I8,'Suivi Client'!C2:H2960,3,FALSE)</f>
        <v>#N/A</v>
      </c>
      <c r="J9" s="63"/>
      <c r="K9" s="63"/>
      <c r="L9" s="63"/>
    </row>
    <row r="10" ht="19.5" customHeight="1">
      <c r="A10" s="71"/>
      <c r="B10" s="69"/>
      <c r="C10" s="71"/>
      <c r="D10" s="69"/>
      <c r="E10" s="65"/>
      <c r="F10" s="65"/>
      <c r="G10" s="77"/>
      <c r="H10" s="69"/>
      <c r="I10" s="77" t="str">
        <f>VLOOKUP(I8,'Suivi Client'!C2:H2960,4,FALSE)</f>
        <v>#N/A</v>
      </c>
      <c r="J10" s="75" t="str">
        <f>VLOOKUP(I8,'Suivi Client'!C2:H2960,5,FALSE)</f>
        <v>#N/A</v>
      </c>
      <c r="K10" s="78"/>
      <c r="L10" s="63"/>
    </row>
    <row r="11" ht="15.0" customHeight="1">
      <c r="A11" s="71"/>
      <c r="B11" s="69"/>
      <c r="C11" s="71"/>
      <c r="D11" s="69"/>
      <c r="E11" s="65"/>
      <c r="F11" s="65"/>
      <c r="G11" s="73"/>
      <c r="H11" s="69"/>
      <c r="I11" s="77"/>
      <c r="J11" s="68"/>
      <c r="K11" s="69"/>
      <c r="L11" s="63"/>
    </row>
    <row r="12">
      <c r="A12" s="71"/>
      <c r="B12" s="69"/>
      <c r="C12" s="65"/>
      <c r="D12" s="65"/>
      <c r="E12" s="65"/>
      <c r="F12" s="65"/>
      <c r="G12" s="73" t="s">
        <v>534</v>
      </c>
      <c r="H12" s="69"/>
      <c r="I12" s="79" t="str">
        <f>IF(VLOOKUP(I8,'Suivi Client'!$C$2:$H$2000,2,FALSE)=0,"",VLOOKUP(I8,'Suivi Client'!$C$2:$H$2000,2,FALSE))</f>
        <v>#N/A</v>
      </c>
      <c r="J12" s="80"/>
      <c r="K12" s="80"/>
      <c r="L12" s="63"/>
    </row>
    <row r="13">
      <c r="A13" s="81"/>
      <c r="B13" s="69"/>
      <c r="C13" s="81"/>
      <c r="D13" s="69"/>
      <c r="E13" s="65"/>
      <c r="F13" s="65"/>
      <c r="G13" s="71"/>
      <c r="H13" s="69"/>
      <c r="I13" s="71"/>
      <c r="J13" s="68"/>
      <c r="K13" s="69"/>
      <c r="L13" s="63"/>
    </row>
    <row r="14">
      <c r="A14" s="81"/>
      <c r="B14" s="69"/>
      <c r="C14" s="81"/>
      <c r="D14" s="69"/>
      <c r="E14" s="65"/>
      <c r="F14" s="65"/>
      <c r="G14" s="71"/>
      <c r="H14" s="69"/>
      <c r="I14" s="65"/>
      <c r="J14" s="63"/>
      <c r="K14" s="65"/>
      <c r="L14" s="63"/>
    </row>
    <row r="15">
      <c r="A15" s="150"/>
      <c r="B15" s="83"/>
      <c r="C15" s="84"/>
      <c r="D15" s="85"/>
      <c r="E15" s="65"/>
      <c r="F15" s="65"/>
      <c r="G15" s="65"/>
      <c r="H15" s="86"/>
      <c r="I15" s="87"/>
      <c r="J15" s="60"/>
      <c r="K15" s="70"/>
      <c r="L15" s="60"/>
    </row>
    <row r="16">
      <c r="A16" s="88" t="s">
        <v>544</v>
      </c>
      <c r="B16" s="89"/>
      <c r="C16" s="90">
        <v>59.0</v>
      </c>
      <c r="D16" s="85"/>
      <c r="E16" s="70"/>
      <c r="F16" s="70"/>
      <c r="G16" s="70"/>
      <c r="H16" s="87"/>
      <c r="I16" s="87"/>
      <c r="J16" s="60"/>
      <c r="K16" s="70"/>
      <c r="L16" s="60"/>
    </row>
    <row r="17">
      <c r="A17" s="91" t="s">
        <v>442</v>
      </c>
      <c r="B17" s="92"/>
      <c r="C17" s="151">
        <v>45613.0</v>
      </c>
      <c r="D17" s="85"/>
      <c r="E17" s="70"/>
      <c r="F17" s="70"/>
      <c r="G17" s="70"/>
      <c r="H17" s="87"/>
      <c r="I17" s="87"/>
      <c r="J17" s="60"/>
      <c r="K17" s="70"/>
      <c r="L17" s="60"/>
    </row>
    <row r="18">
      <c r="A18" s="94"/>
      <c r="B18" s="94"/>
      <c r="C18" s="152"/>
      <c r="D18" s="60"/>
      <c r="E18" s="70"/>
      <c r="F18" s="70"/>
      <c r="G18" s="70"/>
      <c r="H18" s="87"/>
      <c r="I18" s="87"/>
      <c r="J18" s="60"/>
      <c r="K18" s="70"/>
      <c r="L18" s="60"/>
    </row>
    <row r="19">
      <c r="A19" s="87"/>
      <c r="B19" s="87"/>
      <c r="C19" s="60"/>
      <c r="D19" s="96"/>
      <c r="E19" s="63"/>
      <c r="F19" s="70"/>
      <c r="G19" s="70"/>
      <c r="H19" s="87"/>
      <c r="I19" s="87"/>
      <c r="J19" s="60"/>
      <c r="K19" s="70"/>
      <c r="L19" s="60"/>
    </row>
    <row r="20">
      <c r="A20" s="70"/>
      <c r="B20" s="97"/>
      <c r="C20" s="97"/>
      <c r="D20" s="97"/>
      <c r="E20" s="97"/>
      <c r="F20" s="97"/>
      <c r="G20" s="97"/>
      <c r="H20" s="70"/>
      <c r="I20" s="70"/>
      <c r="J20" s="70"/>
      <c r="K20" s="97"/>
      <c r="L20" s="60"/>
    </row>
    <row r="21" ht="15.75" customHeight="1">
      <c r="A21" s="98" t="s">
        <v>535</v>
      </c>
      <c r="B21" s="99" t="s">
        <v>536</v>
      </c>
      <c r="C21" s="100"/>
      <c r="D21" s="100"/>
      <c r="E21" s="100"/>
      <c r="F21" s="100"/>
      <c r="G21" s="101"/>
      <c r="H21" s="102" t="s">
        <v>537</v>
      </c>
      <c r="I21" s="153" t="s">
        <v>545</v>
      </c>
      <c r="J21" s="101"/>
      <c r="K21" s="153" t="s">
        <v>441</v>
      </c>
      <c r="L21" s="101"/>
    </row>
    <row r="22" ht="15.75" customHeight="1">
      <c r="A22" s="104"/>
      <c r="B22" s="105"/>
      <c r="C22" s="106"/>
      <c r="D22" s="106"/>
      <c r="E22" s="106"/>
      <c r="F22" s="106"/>
      <c r="G22" s="107"/>
      <c r="H22" s="104"/>
      <c r="I22" s="105"/>
      <c r="J22" s="107"/>
      <c r="K22" s="105"/>
      <c r="L22" s="107"/>
    </row>
    <row r="23" ht="15.75" customHeight="1">
      <c r="A23" s="108" t="str">
        <f>IF(VLOOKUP($C$16,'Suivi Facturation 2023'!$A$2:$M$1096,3,FALSE)&gt;0,"0,75","")</f>
        <v/>
      </c>
      <c r="B23" s="109" t="str">
        <f>IF(VLOOKUP($C$16,'Suivi Facturation 2023'!$A$2:$M$978,3,FALSE)&gt;0,"Bouteille CHAMPAGNE SELECTION","")</f>
        <v/>
      </c>
      <c r="C23" s="110"/>
      <c r="D23" s="110"/>
      <c r="E23" s="110"/>
      <c r="F23" s="110"/>
      <c r="G23" s="111"/>
      <c r="H23" s="112" t="str">
        <f>IF(VLOOKUP($C$16,'Suivi Facturation 2023'!$A$2:$M$1096,3,FALSE)&gt;0,VLOOKUP($C$16,'Suivi Facturation 2023'!$A$2:$M$1096,3,FALSE),"")</f>
        <v/>
      </c>
      <c r="I23" s="113" t="str">
        <f>IF(VLOOKUP($C$16,'Suivi Facturation 2023'!$A$2:$M$1096,3,FALSE)&gt;0,'Suivi Facturation 2023'!S2,"")</f>
        <v/>
      </c>
      <c r="J23" s="114"/>
      <c r="K23" s="115" t="str">
        <f>IF(VLOOKUP($C$16,'Suivi Facturation 2023'!$A$2:$M$1096,3,FALSE)&gt;0,I23*H23,"")</f>
        <v/>
      </c>
      <c r="L23" s="114"/>
    </row>
    <row r="24" ht="15.75" customHeight="1">
      <c r="A24" s="108" t="str">
        <f>IF(VLOOKUP($C$16,'Suivi Facturation 2023'!$A$2:$M$1096,4,FALSE)&gt;0,"0,75","")</f>
        <v/>
      </c>
      <c r="B24" s="116" t="str">
        <f>IF(VLOOKUP($C$16,'Suivi Facturation 2023'!$A$2:$M$978,4,FALSE)&gt;0,"Bouteille CHAMPAGNE ROSE","")</f>
        <v/>
      </c>
      <c r="C24" s="68"/>
      <c r="D24" s="68"/>
      <c r="E24" s="68"/>
      <c r="F24" s="68"/>
      <c r="G24" s="114"/>
      <c r="H24" s="112" t="str">
        <f>IF(VLOOKUP($C$16,'Suivi Facturation 2023'!$A$2:$M$1096,4,FALSE)&gt;0,VLOOKUP($C$16,'Suivi Facturation 2023'!$A$2:$M$1096,4,FALSE),"")</f>
        <v/>
      </c>
      <c r="I24" s="113" t="str">
        <f>IF(VLOOKUP($C$16,'Suivi Facturation 2023'!$A$2:$M$1096,4,FALSE)&gt;0,'Suivi Facturation 2023'!S3,"")</f>
        <v/>
      </c>
      <c r="J24" s="114"/>
      <c r="K24" s="117" t="str">
        <f>IF(VLOOKUP($C$16,'Suivi Facturation 2023'!$A$2:$M$1096,4,FALSE)&gt;0,I24*H24,"")</f>
        <v/>
      </c>
      <c r="L24" s="114"/>
    </row>
    <row r="25" ht="15.75" customHeight="1">
      <c r="A25" s="108" t="str">
        <f>IF(VLOOKUP($C$16,'Suivi Facturation 2023'!$A$2:$M$1096,5,FALSE)&gt;0,"0,75","")</f>
        <v/>
      </c>
      <c r="B25" s="116" t="str">
        <f>IF(VLOOKUP($C$16,'Suivi Facturation 2023'!$A$2:$M$978,5,FALSE)&gt;0,"Bouteille CHAMPAGNE BLANC DE BLANC","")</f>
        <v/>
      </c>
      <c r="C25" s="68"/>
      <c r="D25" s="68"/>
      <c r="E25" s="68"/>
      <c r="F25" s="68"/>
      <c r="G25" s="114"/>
      <c r="H25" s="112" t="str">
        <f>IF(VLOOKUP($C$16,'Suivi Facturation 2023'!$A$2:$M$1996,5,FALSE)&gt;0,VLOOKUP($C$16,'Suivi Facturation 2023'!$A$2:$M$1996,5,FALSE),"")</f>
        <v/>
      </c>
      <c r="I25" s="113" t="str">
        <f>IF(VLOOKUP($C$16,'Suivi Facturation 2023'!$A$2:$M$1096,5,FALSE)&gt;0,'Suivi Facturation 2023'!S4,"")</f>
        <v/>
      </c>
      <c r="J25" s="114"/>
      <c r="K25" s="81" t="str">
        <f>IF(VLOOKUP($C$16,'Suivi Facturation 2023'!$A$2:$M$1096,5,FALSE)&gt;0,I25*H25,"")</f>
        <v/>
      </c>
      <c r="L25" s="114"/>
    </row>
    <row r="26" ht="15.75" customHeight="1">
      <c r="A26" s="108" t="str">
        <f>IF(VLOOKUP($C$16,'Suivi Facturation 2023'!$A$2:$M$1096,6,FALSE)&gt;0,"0,75","")</f>
        <v/>
      </c>
      <c r="B26" s="116" t="str">
        <f>IF(VLOOKUP($C$16,'Suivi Facturation 2023'!$A$2:$M$1096,6,FALSE)&gt;0,"Bouteille CHAMPAGNE PRESTIGE","")</f>
        <v/>
      </c>
      <c r="C26" s="68"/>
      <c r="D26" s="68"/>
      <c r="E26" s="68"/>
      <c r="F26" s="68"/>
      <c r="G26" s="114"/>
      <c r="H26" s="112" t="str">
        <f>IF(VLOOKUP($C$16,'Suivi Facturation 2023'!$A$2:$M$1096,6,FALSE)&gt;0,VLOOKUP($C$16,'Suivi Facturation 2023'!$A$2:$M$1096,6,FALSE),"")</f>
        <v/>
      </c>
      <c r="I26" s="113" t="str">
        <f>IF(VLOOKUP($C$16,'Suivi Facturation 2023'!$A$2:$M$1096,6,FALSE)&gt;0,'Suivi Facturation 2023'!S5,"")</f>
        <v/>
      </c>
      <c r="J26" s="114"/>
      <c r="K26" s="81" t="str">
        <f>IF(VLOOKUP($C$16,'Suivi Facturation 2023'!$A$2:$M$1096,6,FALSE)&gt;0,I26*H26,"")</f>
        <v/>
      </c>
      <c r="L26" s="114"/>
    </row>
    <row r="27" ht="15.75" customHeight="1">
      <c r="A27" s="108" t="str">
        <f>IF(VLOOKUP($C$16,'Suivi Facturation 2023'!$A$2:$M$1096,7,FALSE)&gt;0,"1,5","")</f>
        <v/>
      </c>
      <c r="B27" s="116" t="str">
        <f>IF(VLOOKUP($C$16,'Suivi Facturation 2023'!$A$2:$M$1096,7,FALSE)&gt;0,"MAGNUM SELECTION","")</f>
        <v/>
      </c>
      <c r="C27" s="68"/>
      <c r="D27" s="68"/>
      <c r="E27" s="68"/>
      <c r="F27" s="68"/>
      <c r="G27" s="114"/>
      <c r="H27" s="154"/>
      <c r="I27" s="113" t="str">
        <f>IF(VLOOKUP($C$16,'Suivi Facturation 2023'!$A$2:$M$1096,7,FALSE)&gt;0,'Suivi Facturation 2023'!S6,"")</f>
        <v/>
      </c>
      <c r="J27" s="114"/>
      <c r="K27" s="81" t="str">
        <f>IF(VLOOKUP($C$16,'Suivi Facturation 2023'!$A$2:$M$1096,7,FALSE)&gt;0,I27*H27,"")</f>
        <v/>
      </c>
      <c r="L27" s="114"/>
    </row>
    <row r="28" ht="15.75" customHeight="1">
      <c r="B28" s="116" t="str">
        <f>IF(VLOOKUP($C$16,'Suivi Facturation 2023'!$A$2:$P$1978,14,FALSE)&gt;0,"PRIX LIVRAISON","")</f>
        <v/>
      </c>
      <c r="C28" s="68"/>
      <c r="D28" s="68"/>
      <c r="E28" s="68"/>
      <c r="F28" s="68"/>
      <c r="G28" s="114"/>
      <c r="H28" s="118"/>
      <c r="K28" s="119" t="str">
        <f>IF(VLOOKUP($C$16,'Suivi Facturation 2023'!$A$2:$P$1978,14,FALSE)&gt;0,VLOOKUP($C$16,'Suivi Facturation 2023'!$A$2:$P$1978,14,FALSE),"")</f>
        <v/>
      </c>
      <c r="L28" s="114"/>
    </row>
    <row r="29" ht="90.75" customHeight="1">
      <c r="A29" s="120"/>
      <c r="B29" s="121"/>
      <c r="C29" s="121"/>
      <c r="D29" s="121"/>
      <c r="E29" s="122"/>
      <c r="F29" s="122"/>
      <c r="G29" s="122"/>
      <c r="H29" s="123"/>
      <c r="I29" s="122"/>
      <c r="J29" s="112"/>
      <c r="K29" s="122"/>
      <c r="L29" s="112"/>
    </row>
    <row r="30" ht="49.5" customHeight="1">
      <c r="A30" s="124"/>
      <c r="B30" s="71"/>
      <c r="C30" s="68"/>
      <c r="D30" s="69"/>
      <c r="E30" s="126"/>
      <c r="F30" s="126"/>
      <c r="G30" s="126"/>
      <c r="H30" s="127"/>
      <c r="I30" s="71"/>
      <c r="J30" s="114"/>
      <c r="K30" s="71"/>
      <c r="L30" s="114"/>
    </row>
    <row r="31" ht="15.75" customHeight="1">
      <c r="A31" s="124"/>
      <c r="B31" s="71"/>
      <c r="C31" s="68"/>
      <c r="D31" s="69"/>
      <c r="E31" s="126"/>
      <c r="F31" s="126"/>
      <c r="G31" s="126"/>
      <c r="H31" s="127"/>
      <c r="I31" s="71"/>
      <c r="J31" s="114"/>
      <c r="K31" s="71"/>
      <c r="L31" s="114"/>
    </row>
    <row r="32" ht="27.75" customHeight="1">
      <c r="A32" s="124"/>
      <c r="B32" s="71"/>
      <c r="C32" s="68"/>
      <c r="D32" s="69"/>
      <c r="E32" s="126"/>
      <c r="F32" s="126"/>
      <c r="G32" s="126"/>
      <c r="H32" s="127"/>
      <c r="I32" s="71"/>
      <c r="J32" s="114"/>
      <c r="K32" s="71"/>
      <c r="L32" s="114"/>
    </row>
    <row r="33" ht="15.75" customHeight="1">
      <c r="A33" s="124"/>
      <c r="B33" s="71"/>
      <c r="C33" s="68"/>
      <c r="D33" s="69"/>
      <c r="E33" s="126"/>
      <c r="F33" s="126"/>
      <c r="G33" s="126"/>
      <c r="H33" s="127"/>
      <c r="I33" s="71"/>
      <c r="J33" s="114"/>
      <c r="K33" s="71"/>
      <c r="L33" s="114"/>
    </row>
    <row r="34" ht="15.75" customHeight="1">
      <c r="A34" s="124"/>
      <c r="B34" s="71"/>
      <c r="C34" s="68"/>
      <c r="D34" s="69"/>
      <c r="E34" s="126"/>
      <c r="F34" s="126"/>
      <c r="G34" s="126"/>
      <c r="H34" s="127"/>
      <c r="I34" s="71"/>
      <c r="J34" s="114"/>
      <c r="K34" s="71"/>
      <c r="L34" s="114"/>
    </row>
    <row r="35" ht="15.75" customHeight="1">
      <c r="A35" s="128"/>
      <c r="B35" s="129"/>
      <c r="C35" s="130"/>
      <c r="D35" s="92"/>
      <c r="E35" s="131"/>
      <c r="F35" s="131"/>
      <c r="G35" s="131"/>
      <c r="H35" s="132"/>
      <c r="I35" s="129"/>
      <c r="J35" s="133"/>
      <c r="K35" s="129"/>
      <c r="L35" s="133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</row>
    <row r="37" ht="15.75" customHeight="1">
      <c r="A37" s="70"/>
      <c r="B37" s="70"/>
      <c r="C37" s="70"/>
      <c r="D37" s="70"/>
      <c r="E37" s="70"/>
      <c r="F37" s="70"/>
      <c r="G37" s="70"/>
      <c r="H37" s="60"/>
      <c r="I37" s="60"/>
      <c r="J37" s="60"/>
      <c r="K37" s="134"/>
      <c r="L37" s="135"/>
    </row>
    <row r="38" ht="15.75" customHeight="1">
      <c r="A38" s="70"/>
      <c r="B38" s="70"/>
      <c r="C38" s="70"/>
      <c r="D38" s="70"/>
      <c r="E38" s="70"/>
      <c r="F38" s="70"/>
      <c r="G38" s="70"/>
      <c r="H38" s="60"/>
      <c r="I38" s="60"/>
      <c r="J38" s="60"/>
      <c r="K38" s="134"/>
      <c r="L38" s="135"/>
    </row>
    <row r="39" ht="15.75" customHeight="1">
      <c r="A39" s="70"/>
      <c r="B39" s="70"/>
      <c r="C39" s="70"/>
      <c r="D39" s="70"/>
      <c r="E39" s="70"/>
      <c r="F39" s="70"/>
      <c r="G39" s="70"/>
      <c r="H39" s="60"/>
      <c r="I39" s="60"/>
      <c r="J39" s="60"/>
      <c r="K39" s="134"/>
      <c r="L39" s="136"/>
    </row>
    <row r="40" ht="15.75" customHeight="1">
      <c r="A40" s="70"/>
      <c r="B40" s="70"/>
      <c r="C40" s="70"/>
      <c r="D40" s="70"/>
      <c r="E40" s="70"/>
      <c r="F40" s="70"/>
      <c r="G40" s="70"/>
      <c r="H40" s="60"/>
      <c r="I40" s="60"/>
      <c r="J40" s="60"/>
      <c r="K40" s="155" t="s">
        <v>539</v>
      </c>
      <c r="L40" s="137">
        <f>SUM(K23:L30)</f>
        <v>0</v>
      </c>
    </row>
    <row r="41" ht="15.75" customHeight="1">
      <c r="A41" s="70"/>
      <c r="B41" s="70"/>
      <c r="C41" s="70"/>
      <c r="D41" s="70"/>
      <c r="E41" s="70"/>
      <c r="F41" s="70"/>
      <c r="G41" s="70"/>
      <c r="H41" s="60"/>
      <c r="I41" s="60"/>
      <c r="J41" s="60"/>
      <c r="K41" s="60"/>
      <c r="L41" s="60"/>
    </row>
    <row r="42" ht="15.75" customHeight="1">
      <c r="A42" s="139" t="s">
        <v>542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1"/>
    </row>
    <row r="43" ht="15.75" customHeight="1">
      <c r="A43" s="142"/>
      <c r="L43" s="143"/>
    </row>
    <row r="44" ht="15.75" customHeight="1">
      <c r="A44" s="142"/>
      <c r="L44" s="143"/>
    </row>
    <row r="45" ht="15.75" customHeight="1">
      <c r="A45" s="142"/>
      <c r="L45" s="143"/>
    </row>
    <row r="46" ht="64.5" customHeight="1">
      <c r="A46" s="142"/>
      <c r="L46" s="143"/>
    </row>
    <row r="47" ht="15.75" hidden="1" customHeight="1">
      <c r="A47" s="144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6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</row>
    <row r="54" ht="15.75" customHeight="1">
      <c r="A54" s="147" t="s">
        <v>543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48"/>
    </row>
    <row r="55" ht="15.75" customHeight="1">
      <c r="A55" s="142"/>
      <c r="L55" s="143"/>
    </row>
    <row r="56" ht="57.0" customHeight="1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6"/>
    </row>
    <row r="57" ht="37.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2">
    <mergeCell ref="K27:L27"/>
    <mergeCell ref="K28:L28"/>
    <mergeCell ref="I23:J23"/>
    <mergeCell ref="I24:J24"/>
    <mergeCell ref="I25:J25"/>
    <mergeCell ref="K25:L25"/>
    <mergeCell ref="I26:J26"/>
    <mergeCell ref="K26:L26"/>
    <mergeCell ref="I27:J27"/>
    <mergeCell ref="B21:G22"/>
    <mergeCell ref="H21:H22"/>
    <mergeCell ref="I21:J22"/>
    <mergeCell ref="K21:L22"/>
    <mergeCell ref="B23:G23"/>
    <mergeCell ref="K23:L23"/>
    <mergeCell ref="K24:L24"/>
    <mergeCell ref="B24:G24"/>
    <mergeCell ref="B25:G25"/>
    <mergeCell ref="B26:G26"/>
    <mergeCell ref="B27:G27"/>
    <mergeCell ref="B28:G28"/>
    <mergeCell ref="I30:J30"/>
    <mergeCell ref="K30:L30"/>
    <mergeCell ref="E5:I5"/>
    <mergeCell ref="A7:B7"/>
    <mergeCell ref="C7:D7"/>
    <mergeCell ref="G7:H7"/>
    <mergeCell ref="I7:K7"/>
    <mergeCell ref="C8:D8"/>
    <mergeCell ref="G8:H8"/>
    <mergeCell ref="A8:B8"/>
    <mergeCell ref="A9:B9"/>
    <mergeCell ref="C9:D9"/>
    <mergeCell ref="G9:H9"/>
    <mergeCell ref="A10:B10"/>
    <mergeCell ref="C10:D10"/>
    <mergeCell ref="G10:H10"/>
    <mergeCell ref="G12:H12"/>
    <mergeCell ref="G13:H13"/>
    <mergeCell ref="G14:H14"/>
    <mergeCell ref="A11:B11"/>
    <mergeCell ref="C11:D11"/>
    <mergeCell ref="G11:H11"/>
    <mergeCell ref="I11:K11"/>
    <mergeCell ref="A12:B12"/>
    <mergeCell ref="C13:D13"/>
    <mergeCell ref="I13:K13"/>
    <mergeCell ref="A13:B13"/>
    <mergeCell ref="A14:B14"/>
    <mergeCell ref="C14:D14"/>
    <mergeCell ref="A15:C15"/>
    <mergeCell ref="A16:B16"/>
    <mergeCell ref="A17:B17"/>
    <mergeCell ref="A21:A22"/>
    <mergeCell ref="B30:D30"/>
    <mergeCell ref="B31:D31"/>
    <mergeCell ref="B32:D32"/>
    <mergeCell ref="B33:D33"/>
    <mergeCell ref="B34:D34"/>
    <mergeCell ref="B35:D35"/>
    <mergeCell ref="I34:J34"/>
    <mergeCell ref="I35:J35"/>
    <mergeCell ref="A42:L47"/>
    <mergeCell ref="A54:L56"/>
    <mergeCell ref="I31:J31"/>
    <mergeCell ref="K31:L31"/>
    <mergeCell ref="I32:J32"/>
    <mergeCell ref="K32:L32"/>
    <mergeCell ref="I33:J33"/>
    <mergeCell ref="K33:L33"/>
    <mergeCell ref="K34:L34"/>
    <mergeCell ref="K35:L35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36.43"/>
    <col customWidth="1" min="3" max="7" width="9.29"/>
    <col customWidth="1" min="8" max="8" width="14.29"/>
    <col customWidth="1" min="9" max="9" width="12.29"/>
    <col customWidth="1" min="10" max="10" width="10.29"/>
    <col customWidth="1" min="11" max="11" width="16.71"/>
    <col customWidth="1" min="12" max="12" width="13.57"/>
    <col customWidth="1" min="13" max="13" width="13.29"/>
    <col customWidth="1" min="14" max="14" width="18.43"/>
    <col customWidth="1" min="15" max="15" width="20.71"/>
    <col customWidth="1" min="16" max="18" width="28.43"/>
    <col customWidth="1" min="19" max="19" width="10.71"/>
    <col customWidth="1" min="20" max="20" width="10.86"/>
    <col customWidth="1" min="21" max="21" width="10.71"/>
  </cols>
  <sheetData>
    <row r="1" ht="23.25" customHeight="1">
      <c r="A1" s="19" t="s">
        <v>671</v>
      </c>
      <c r="B1" s="19" t="s">
        <v>434</v>
      </c>
      <c r="C1" s="19" t="s">
        <v>435</v>
      </c>
      <c r="D1" s="19" t="s">
        <v>436</v>
      </c>
      <c r="E1" s="19" t="s">
        <v>437</v>
      </c>
      <c r="F1" s="19" t="s">
        <v>438</v>
      </c>
      <c r="G1" s="19" t="s">
        <v>439</v>
      </c>
      <c r="H1" s="19"/>
      <c r="I1" s="19" t="s">
        <v>440</v>
      </c>
      <c r="J1" s="19" t="s">
        <v>441</v>
      </c>
      <c r="K1" s="19" t="s">
        <v>442</v>
      </c>
      <c r="L1" s="19" t="s">
        <v>443</v>
      </c>
      <c r="M1" s="19" t="s">
        <v>444</v>
      </c>
      <c r="N1" s="19" t="s">
        <v>445</v>
      </c>
      <c r="O1" s="19" t="s">
        <v>446</v>
      </c>
      <c r="P1" s="19" t="s">
        <v>447</v>
      </c>
      <c r="Q1" s="20"/>
      <c r="R1" s="20" t="s">
        <v>448</v>
      </c>
      <c r="S1" s="21" t="s">
        <v>449</v>
      </c>
      <c r="T1" s="22">
        <f>S2/1.2</f>
        <v>14.16666667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ht="14.25" customHeight="1">
      <c r="A2" s="27">
        <v>1.0</v>
      </c>
      <c r="B2" s="27" t="s">
        <v>672</v>
      </c>
      <c r="C2" s="37">
        <v>3.0</v>
      </c>
      <c r="D2" s="37">
        <v>1.0</v>
      </c>
      <c r="E2" s="27">
        <v>2.0</v>
      </c>
      <c r="F2" s="27">
        <v>3.0</v>
      </c>
      <c r="G2" s="27"/>
      <c r="H2" s="27"/>
      <c r="I2" s="27">
        <f t="shared" ref="I2:I10" si="1">IF(L2="Cadeau",0,C2*$S$2+D2*$S$3+E2*$S$4+F2*$S$5)</f>
        <v>0</v>
      </c>
      <c r="J2" s="28">
        <f t="shared" ref="J2:J10" si="2">I2/1.2</f>
        <v>0</v>
      </c>
      <c r="K2" s="161">
        <v>44576.0</v>
      </c>
      <c r="L2" s="27" t="s">
        <v>202</v>
      </c>
      <c r="M2" s="27" t="s">
        <v>453</v>
      </c>
      <c r="N2" s="27"/>
      <c r="O2" s="27"/>
      <c r="P2" s="36"/>
      <c r="Q2" s="31"/>
      <c r="R2" s="31" t="s">
        <v>451</v>
      </c>
      <c r="S2" s="9">
        <v>17.0</v>
      </c>
    </row>
    <row r="3" ht="14.25" customHeight="1">
      <c r="A3" s="40">
        <v>2.0</v>
      </c>
      <c r="B3" s="32" t="s">
        <v>673</v>
      </c>
      <c r="C3" s="40"/>
      <c r="D3" s="40"/>
      <c r="E3" s="32">
        <v>18.0</v>
      </c>
      <c r="F3" s="32"/>
      <c r="G3" s="32"/>
      <c r="H3" s="32"/>
      <c r="I3" s="32">
        <f t="shared" si="1"/>
        <v>333</v>
      </c>
      <c r="J3" s="162">
        <f t="shared" si="2"/>
        <v>277.5</v>
      </c>
      <c r="K3" s="160">
        <v>44579.0</v>
      </c>
      <c r="L3" s="32" t="s">
        <v>460</v>
      </c>
      <c r="M3" s="32" t="s">
        <v>453</v>
      </c>
      <c r="N3" s="32" t="s">
        <v>674</v>
      </c>
      <c r="O3" s="32" t="s">
        <v>675</v>
      </c>
      <c r="P3" s="34"/>
      <c r="Q3" s="31"/>
      <c r="R3" s="31" t="s">
        <v>455</v>
      </c>
      <c r="S3" s="9">
        <v>19.0</v>
      </c>
    </row>
    <row r="4" ht="14.25" customHeight="1">
      <c r="A4" s="27">
        <v>3.0</v>
      </c>
      <c r="B4" s="27" t="s">
        <v>488</v>
      </c>
      <c r="C4" s="37">
        <v>6.0</v>
      </c>
      <c r="D4" s="37"/>
      <c r="E4" s="27">
        <v>2.0</v>
      </c>
      <c r="F4" s="27"/>
      <c r="G4" s="27"/>
      <c r="H4" s="27"/>
      <c r="I4" s="27">
        <f t="shared" si="1"/>
        <v>139</v>
      </c>
      <c r="J4" s="28">
        <f t="shared" si="2"/>
        <v>115.8333333</v>
      </c>
      <c r="K4" s="161">
        <v>44696.0</v>
      </c>
      <c r="L4" s="27" t="s">
        <v>460</v>
      </c>
      <c r="M4" s="27" t="s">
        <v>482</v>
      </c>
      <c r="N4" s="27" t="s">
        <v>676</v>
      </c>
      <c r="O4" s="27" t="s">
        <v>677</v>
      </c>
      <c r="P4" s="36"/>
      <c r="Q4" s="31"/>
      <c r="R4" s="31" t="s">
        <v>456</v>
      </c>
      <c r="S4" s="31">
        <v>18.5</v>
      </c>
    </row>
    <row r="5" ht="14.25" customHeight="1">
      <c r="A5" s="32">
        <v>4.0</v>
      </c>
      <c r="B5" s="32" t="s">
        <v>678</v>
      </c>
      <c r="C5" s="40">
        <v>6.0</v>
      </c>
      <c r="D5" s="40"/>
      <c r="E5" s="32">
        <v>12.0</v>
      </c>
      <c r="F5" s="32"/>
      <c r="G5" s="32"/>
      <c r="H5" s="32"/>
      <c r="I5" s="32">
        <f t="shared" si="1"/>
        <v>324</v>
      </c>
      <c r="J5" s="162">
        <f t="shared" si="2"/>
        <v>270</v>
      </c>
      <c r="K5" s="160">
        <v>44630.0</v>
      </c>
      <c r="L5" s="32" t="s">
        <v>460</v>
      </c>
      <c r="M5" s="32" t="s">
        <v>453</v>
      </c>
      <c r="N5" s="32" t="s">
        <v>676</v>
      </c>
      <c r="O5" s="32" t="s">
        <v>679</v>
      </c>
      <c r="P5" s="34"/>
      <c r="Q5" s="31"/>
      <c r="R5" s="31" t="s">
        <v>458</v>
      </c>
      <c r="S5" s="9">
        <v>27.0</v>
      </c>
    </row>
    <row r="6" ht="14.25" customHeight="1">
      <c r="A6" s="27">
        <v>5.0</v>
      </c>
      <c r="B6" s="27" t="s">
        <v>680</v>
      </c>
      <c r="C6" s="37">
        <v>4.0</v>
      </c>
      <c r="D6" s="37"/>
      <c r="E6" s="27"/>
      <c r="F6" s="27"/>
      <c r="G6" s="27"/>
      <c r="H6" s="27"/>
      <c r="I6" s="27">
        <f t="shared" si="1"/>
        <v>68</v>
      </c>
      <c r="J6" s="28">
        <f t="shared" si="2"/>
        <v>56.66666667</v>
      </c>
      <c r="K6" s="161">
        <v>44578.0</v>
      </c>
      <c r="L6" s="27" t="s">
        <v>460</v>
      </c>
      <c r="M6" s="27" t="s">
        <v>453</v>
      </c>
      <c r="N6" s="27" t="s">
        <v>681</v>
      </c>
      <c r="O6" s="27" t="s">
        <v>682</v>
      </c>
      <c r="P6" s="27"/>
      <c r="R6" s="9" t="s">
        <v>462</v>
      </c>
      <c r="S6" s="9">
        <v>38.0</v>
      </c>
    </row>
    <row r="7" ht="14.25" customHeight="1">
      <c r="A7" s="32">
        <v>6.0</v>
      </c>
      <c r="B7" s="32" t="s">
        <v>683</v>
      </c>
      <c r="C7" s="40">
        <v>1.0</v>
      </c>
      <c r="D7" s="40">
        <v>1.0</v>
      </c>
      <c r="E7" s="32">
        <v>3.0</v>
      </c>
      <c r="F7" s="32"/>
      <c r="G7" s="32"/>
      <c r="H7" s="32"/>
      <c r="I7" s="32">
        <f t="shared" si="1"/>
        <v>91.5</v>
      </c>
      <c r="J7" s="162">
        <f t="shared" si="2"/>
        <v>76.25</v>
      </c>
      <c r="K7" s="160">
        <v>44638.0</v>
      </c>
      <c r="L7" s="32" t="s">
        <v>460</v>
      </c>
      <c r="M7" s="32" t="s">
        <v>453</v>
      </c>
      <c r="N7" s="32" t="s">
        <v>493</v>
      </c>
      <c r="O7" s="32" t="s">
        <v>684</v>
      </c>
      <c r="P7" s="34"/>
      <c r="Q7" s="31"/>
      <c r="R7" s="31" t="s">
        <v>464</v>
      </c>
      <c r="S7" s="9">
        <f>SUM(C2:D1201)</f>
        <v>990</v>
      </c>
    </row>
    <row r="8" ht="14.25" customHeight="1">
      <c r="A8" s="27">
        <f t="shared" ref="A8:A33" si="3">IF(L8="CAdeau",0,MAX($A$2:A7)+1)</f>
        <v>7</v>
      </c>
      <c r="B8" s="27" t="s">
        <v>685</v>
      </c>
      <c r="C8" s="37">
        <v>2.0</v>
      </c>
      <c r="D8" s="37"/>
      <c r="E8" s="27"/>
      <c r="F8" s="27"/>
      <c r="G8" s="27"/>
      <c r="H8" s="27"/>
      <c r="I8" s="27">
        <f t="shared" si="1"/>
        <v>34</v>
      </c>
      <c r="J8" s="28">
        <f t="shared" si="2"/>
        <v>28.33333333</v>
      </c>
      <c r="K8" s="161">
        <v>44640.0</v>
      </c>
      <c r="L8" s="27" t="s">
        <v>460</v>
      </c>
      <c r="M8" s="27" t="s">
        <v>453</v>
      </c>
      <c r="N8" s="27" t="s">
        <v>493</v>
      </c>
      <c r="O8" s="27" t="s">
        <v>686</v>
      </c>
      <c r="P8" s="36"/>
      <c r="Q8" s="31"/>
      <c r="R8" s="31"/>
    </row>
    <row r="9" ht="14.25" customHeight="1">
      <c r="A9" s="32">
        <f t="shared" si="3"/>
        <v>8</v>
      </c>
      <c r="B9" s="32" t="s">
        <v>687</v>
      </c>
      <c r="C9" s="40"/>
      <c r="D9" s="40"/>
      <c r="E9" s="32">
        <v>6.0</v>
      </c>
      <c r="F9" s="32"/>
      <c r="G9" s="32"/>
      <c r="H9" s="32"/>
      <c r="I9" s="32">
        <f t="shared" si="1"/>
        <v>111</v>
      </c>
      <c r="J9" s="162">
        <f t="shared" si="2"/>
        <v>92.5</v>
      </c>
      <c r="K9" s="160">
        <v>44639.0</v>
      </c>
      <c r="L9" s="32" t="s">
        <v>460</v>
      </c>
      <c r="M9" s="32" t="s">
        <v>453</v>
      </c>
      <c r="N9" s="32" t="s">
        <v>688</v>
      </c>
      <c r="O9" s="32" t="s">
        <v>686</v>
      </c>
      <c r="P9" s="34"/>
      <c r="Q9" s="31"/>
      <c r="R9" s="31" t="s">
        <v>468</v>
      </c>
      <c r="S9" s="39">
        <f>SUM(I2:I1216)</f>
        <v>19625</v>
      </c>
    </row>
    <row r="10" ht="14.25" customHeight="1">
      <c r="A10" s="27">
        <f t="shared" si="3"/>
        <v>9</v>
      </c>
      <c r="B10" s="27" t="s">
        <v>689</v>
      </c>
      <c r="C10" s="37"/>
      <c r="D10" s="37">
        <v>3.0</v>
      </c>
      <c r="E10" s="27">
        <v>3.0</v>
      </c>
      <c r="F10" s="27"/>
      <c r="G10" s="27"/>
      <c r="H10" s="27"/>
      <c r="I10" s="27">
        <f t="shared" si="1"/>
        <v>112.5</v>
      </c>
      <c r="J10" s="28">
        <f t="shared" si="2"/>
        <v>93.75</v>
      </c>
      <c r="K10" s="161">
        <v>44643.0</v>
      </c>
      <c r="L10" s="27" t="s">
        <v>460</v>
      </c>
      <c r="M10" s="27" t="s">
        <v>453</v>
      </c>
      <c r="N10" s="27" t="s">
        <v>493</v>
      </c>
      <c r="O10" s="27" t="s">
        <v>690</v>
      </c>
      <c r="P10" s="36" t="s">
        <v>691</v>
      </c>
      <c r="Q10" s="31"/>
      <c r="R10" s="31"/>
    </row>
    <row r="11" ht="14.25" customHeight="1">
      <c r="A11" s="32">
        <f t="shared" si="3"/>
        <v>10</v>
      </c>
      <c r="B11" s="32" t="s">
        <v>692</v>
      </c>
      <c r="C11" s="40"/>
      <c r="D11" s="40">
        <v>6.0</v>
      </c>
      <c r="E11" s="32">
        <v>6.0</v>
      </c>
      <c r="F11" s="32"/>
      <c r="G11" s="32"/>
      <c r="H11" s="32"/>
      <c r="I11" s="32"/>
      <c r="J11" s="162"/>
      <c r="K11" s="160">
        <v>44654.0</v>
      </c>
      <c r="L11" s="32" t="s">
        <v>460</v>
      </c>
      <c r="M11" s="32" t="s">
        <v>453</v>
      </c>
      <c r="N11" s="32" t="s">
        <v>493</v>
      </c>
      <c r="O11" s="32" t="s">
        <v>693</v>
      </c>
      <c r="P11" s="32"/>
    </row>
    <row r="12" ht="14.25" customHeight="1">
      <c r="A12" s="27">
        <f t="shared" si="3"/>
        <v>11</v>
      </c>
      <c r="B12" s="27" t="s">
        <v>450</v>
      </c>
      <c r="C12" s="37">
        <v>12.0</v>
      </c>
      <c r="D12" s="37"/>
      <c r="E12" s="27"/>
      <c r="F12" s="27"/>
      <c r="G12" s="27"/>
      <c r="H12" s="27"/>
      <c r="I12" s="27">
        <f t="shared" ref="I12:I55" si="4">IF(L12="Cadeau",0,C12*$S$2+D12*$S$3+E12*$S$4+F12*$S$5)</f>
        <v>204</v>
      </c>
      <c r="J12" s="28">
        <f t="shared" ref="J12:J60" si="5">I12/1.2</f>
        <v>170</v>
      </c>
      <c r="K12" s="161">
        <v>44658.0</v>
      </c>
      <c r="L12" s="27" t="s">
        <v>477</v>
      </c>
      <c r="M12" s="27" t="s">
        <v>453</v>
      </c>
      <c r="N12" s="27" t="s">
        <v>78</v>
      </c>
      <c r="O12" s="27" t="s">
        <v>641</v>
      </c>
      <c r="P12" s="27"/>
    </row>
    <row r="13" ht="14.25" customHeight="1">
      <c r="A13" s="32">
        <f t="shared" si="3"/>
        <v>0</v>
      </c>
      <c r="B13" s="32" t="s">
        <v>110</v>
      </c>
      <c r="C13" s="32">
        <v>2.0</v>
      </c>
      <c r="D13" s="32"/>
      <c r="E13" s="32"/>
      <c r="F13" s="32"/>
      <c r="G13" s="32"/>
      <c r="H13" s="32"/>
      <c r="I13" s="32">
        <f t="shared" si="4"/>
        <v>0</v>
      </c>
      <c r="J13" s="162">
        <f t="shared" si="5"/>
        <v>0</v>
      </c>
      <c r="K13" s="160">
        <v>44667.0</v>
      </c>
      <c r="L13" s="32" t="s">
        <v>202</v>
      </c>
      <c r="M13" s="32" t="s">
        <v>453</v>
      </c>
      <c r="N13" s="32">
        <v>0.0</v>
      </c>
      <c r="O13" s="32" t="s">
        <v>694</v>
      </c>
      <c r="P13" s="32"/>
    </row>
    <row r="14" ht="14.25" customHeight="1">
      <c r="A14" s="27">
        <f t="shared" si="3"/>
        <v>12</v>
      </c>
      <c r="B14" s="163" t="s">
        <v>695</v>
      </c>
      <c r="C14" s="27">
        <v>40.0</v>
      </c>
      <c r="D14" s="27"/>
      <c r="E14" s="27"/>
      <c r="F14" s="27"/>
      <c r="G14" s="27"/>
      <c r="H14" s="27"/>
      <c r="I14" s="27">
        <f t="shared" si="4"/>
        <v>680</v>
      </c>
      <c r="J14" s="28">
        <f t="shared" si="5"/>
        <v>566.6666667</v>
      </c>
      <c r="K14" s="161">
        <v>44679.0</v>
      </c>
      <c r="L14" s="27" t="s">
        <v>460</v>
      </c>
      <c r="M14" s="27" t="s">
        <v>453</v>
      </c>
      <c r="N14" s="27" t="s">
        <v>594</v>
      </c>
      <c r="O14" s="27" t="s">
        <v>696</v>
      </c>
      <c r="P14" s="27" t="s">
        <v>697</v>
      </c>
    </row>
    <row r="15" ht="14.25" customHeight="1">
      <c r="A15" s="32">
        <f t="shared" si="3"/>
        <v>13</v>
      </c>
      <c r="B15" s="32" t="s">
        <v>609</v>
      </c>
      <c r="C15" s="32">
        <v>6.0</v>
      </c>
      <c r="D15" s="32"/>
      <c r="E15" s="32"/>
      <c r="F15" s="32"/>
      <c r="G15" s="32"/>
      <c r="H15" s="32"/>
      <c r="I15" s="32">
        <f t="shared" si="4"/>
        <v>102</v>
      </c>
      <c r="J15" s="162">
        <f t="shared" si="5"/>
        <v>85</v>
      </c>
      <c r="K15" s="160">
        <v>44677.0</v>
      </c>
      <c r="L15" s="32" t="s">
        <v>460</v>
      </c>
      <c r="M15" s="32" t="s">
        <v>453</v>
      </c>
      <c r="N15" s="32" t="s">
        <v>493</v>
      </c>
      <c r="O15" s="32" t="s">
        <v>698</v>
      </c>
      <c r="P15" s="32" t="s">
        <v>691</v>
      </c>
    </row>
    <row r="16" ht="14.25" customHeight="1">
      <c r="A16" s="27">
        <f t="shared" si="3"/>
        <v>14</v>
      </c>
      <c r="B16" s="164" t="s">
        <v>494</v>
      </c>
      <c r="C16" s="27">
        <v>18.0</v>
      </c>
      <c r="D16" s="27">
        <v>12.0</v>
      </c>
      <c r="E16" s="27"/>
      <c r="F16" s="27"/>
      <c r="G16" s="27"/>
      <c r="H16" s="27"/>
      <c r="I16" s="27">
        <f t="shared" si="4"/>
        <v>534</v>
      </c>
      <c r="J16" s="28">
        <f t="shared" si="5"/>
        <v>445</v>
      </c>
      <c r="K16" s="161">
        <v>44698.0</v>
      </c>
      <c r="L16" s="27" t="s">
        <v>460</v>
      </c>
      <c r="M16" s="27" t="s">
        <v>453</v>
      </c>
      <c r="N16" s="27" t="s">
        <v>493</v>
      </c>
      <c r="O16" s="27" t="s">
        <v>699</v>
      </c>
      <c r="P16" s="27" t="s">
        <v>700</v>
      </c>
    </row>
    <row r="17" ht="14.25" customHeight="1">
      <c r="A17" s="32">
        <f t="shared" si="3"/>
        <v>15</v>
      </c>
      <c r="B17" s="32" t="s">
        <v>701</v>
      </c>
      <c r="C17" s="32">
        <v>1.0</v>
      </c>
      <c r="D17" s="32">
        <v>1.0</v>
      </c>
      <c r="E17" s="32"/>
      <c r="F17" s="32"/>
      <c r="G17" s="32"/>
      <c r="H17" s="32"/>
      <c r="I17" s="32">
        <f t="shared" si="4"/>
        <v>36</v>
      </c>
      <c r="J17" s="162">
        <f t="shared" si="5"/>
        <v>30</v>
      </c>
      <c r="K17" s="160">
        <v>44701.0</v>
      </c>
      <c r="L17" s="32" t="s">
        <v>460</v>
      </c>
      <c r="M17" s="32"/>
      <c r="N17" s="32" t="s">
        <v>493</v>
      </c>
      <c r="O17" s="32" t="s">
        <v>702</v>
      </c>
      <c r="P17" s="32"/>
    </row>
    <row r="18" ht="14.25" customHeight="1">
      <c r="A18" s="27">
        <f t="shared" si="3"/>
        <v>16</v>
      </c>
      <c r="B18" s="27" t="s">
        <v>703</v>
      </c>
      <c r="C18" s="27">
        <v>1.0</v>
      </c>
      <c r="D18" s="27">
        <v>1.0</v>
      </c>
      <c r="E18" s="27"/>
      <c r="F18" s="27"/>
      <c r="G18" s="27"/>
      <c r="H18" s="27"/>
      <c r="I18" s="27">
        <f t="shared" si="4"/>
        <v>36</v>
      </c>
      <c r="J18" s="28">
        <f t="shared" si="5"/>
        <v>30</v>
      </c>
      <c r="K18" s="161">
        <v>44701.0</v>
      </c>
      <c r="L18" s="27" t="s">
        <v>460</v>
      </c>
      <c r="M18" s="27"/>
      <c r="N18" s="27" t="s">
        <v>78</v>
      </c>
      <c r="O18" s="27" t="s">
        <v>702</v>
      </c>
      <c r="P18" s="27"/>
    </row>
    <row r="19" ht="14.25" customHeight="1">
      <c r="A19" s="9">
        <f t="shared" si="3"/>
        <v>17</v>
      </c>
      <c r="B19" s="165" t="s">
        <v>450</v>
      </c>
      <c r="C19" s="9">
        <v>12.0</v>
      </c>
      <c r="D19" s="9"/>
      <c r="E19" s="9"/>
      <c r="F19" s="9"/>
      <c r="G19" s="9"/>
      <c r="H19" s="9"/>
      <c r="I19" s="9">
        <f t="shared" si="4"/>
        <v>204</v>
      </c>
      <c r="J19" s="166">
        <f t="shared" si="5"/>
        <v>170</v>
      </c>
      <c r="K19" s="167">
        <v>44687.0</v>
      </c>
      <c r="L19" s="9" t="s">
        <v>477</v>
      </c>
      <c r="M19" s="9" t="s">
        <v>453</v>
      </c>
      <c r="N19" s="9" t="s">
        <v>478</v>
      </c>
      <c r="O19" s="9" t="s">
        <v>704</v>
      </c>
    </row>
    <row r="20" ht="14.25" customHeight="1">
      <c r="A20" s="9">
        <f t="shared" si="3"/>
        <v>18</v>
      </c>
      <c r="B20" s="9" t="s">
        <v>557</v>
      </c>
      <c r="C20" s="9"/>
      <c r="D20" s="9"/>
      <c r="E20" s="9">
        <v>24.0</v>
      </c>
      <c r="F20" s="9"/>
      <c r="G20" s="9"/>
      <c r="H20" s="9"/>
      <c r="I20" s="9">
        <f t="shared" si="4"/>
        <v>444</v>
      </c>
      <c r="J20" s="166">
        <f t="shared" si="5"/>
        <v>370</v>
      </c>
      <c r="K20" s="58">
        <v>44722.0</v>
      </c>
      <c r="L20" s="9" t="s">
        <v>460</v>
      </c>
      <c r="M20" s="9" t="s">
        <v>453</v>
      </c>
      <c r="N20" s="9" t="s">
        <v>493</v>
      </c>
    </row>
    <row r="21" ht="14.25" customHeight="1">
      <c r="A21" s="9">
        <f t="shared" si="3"/>
        <v>0</v>
      </c>
      <c r="B21" s="9" t="s">
        <v>486</v>
      </c>
      <c r="C21" s="9">
        <v>1.0</v>
      </c>
      <c r="D21" s="9">
        <v>1.0</v>
      </c>
      <c r="E21" s="9">
        <v>1.0</v>
      </c>
      <c r="F21" s="9">
        <v>1.0</v>
      </c>
      <c r="G21" s="9"/>
      <c r="H21" s="9"/>
      <c r="I21" s="9">
        <f t="shared" si="4"/>
        <v>0</v>
      </c>
      <c r="J21" s="166">
        <f t="shared" si="5"/>
        <v>0</v>
      </c>
      <c r="K21" s="58"/>
      <c r="L21" s="9" t="s">
        <v>202</v>
      </c>
      <c r="M21" s="9" t="s">
        <v>482</v>
      </c>
      <c r="N21" s="9">
        <v>0.0</v>
      </c>
      <c r="O21" s="9" t="s">
        <v>705</v>
      </c>
      <c r="P21" s="9" t="s">
        <v>706</v>
      </c>
    </row>
    <row r="22" ht="14.25" customHeight="1">
      <c r="A22" s="9">
        <f t="shared" si="3"/>
        <v>19</v>
      </c>
      <c r="B22" s="9" t="s">
        <v>707</v>
      </c>
      <c r="C22" s="9">
        <v>156.0</v>
      </c>
      <c r="D22" s="9"/>
      <c r="E22" s="9"/>
      <c r="F22" s="9"/>
      <c r="G22" s="9"/>
      <c r="H22" s="9">
        <v>156.0</v>
      </c>
      <c r="I22" s="9">
        <f t="shared" si="4"/>
        <v>2652</v>
      </c>
      <c r="J22" s="166">
        <f t="shared" si="5"/>
        <v>2210</v>
      </c>
      <c r="K22" s="58">
        <v>44774.0</v>
      </c>
      <c r="L22" s="9" t="s">
        <v>460</v>
      </c>
      <c r="M22" s="9" t="s">
        <v>453</v>
      </c>
      <c r="N22" s="9" t="s">
        <v>708</v>
      </c>
      <c r="O22" s="9" t="s">
        <v>709</v>
      </c>
      <c r="P22" s="9" t="s">
        <v>710</v>
      </c>
    </row>
    <row r="23" ht="14.25" customHeight="1">
      <c r="A23" s="9">
        <f t="shared" si="3"/>
        <v>20</v>
      </c>
      <c r="B23" s="9" t="s">
        <v>711</v>
      </c>
      <c r="C23" s="9">
        <v>276.0</v>
      </c>
      <c r="E23" s="9"/>
      <c r="F23" s="9"/>
      <c r="G23" s="9"/>
      <c r="H23" s="9">
        <v>276.0</v>
      </c>
      <c r="I23" s="9">
        <f t="shared" si="4"/>
        <v>4692</v>
      </c>
      <c r="J23" s="166">
        <f t="shared" si="5"/>
        <v>3910</v>
      </c>
      <c r="K23" s="58">
        <v>44774.0</v>
      </c>
      <c r="L23" s="9"/>
      <c r="M23" s="9" t="s">
        <v>453</v>
      </c>
      <c r="N23" s="9" t="s">
        <v>493</v>
      </c>
      <c r="O23" s="9" t="s">
        <v>709</v>
      </c>
      <c r="P23" s="9" t="s">
        <v>710</v>
      </c>
    </row>
    <row r="24">
      <c r="A24" s="9">
        <f t="shared" si="3"/>
        <v>21</v>
      </c>
      <c r="B24" s="9" t="s">
        <v>463</v>
      </c>
      <c r="C24" s="9">
        <v>12.0</v>
      </c>
      <c r="E24" s="9">
        <v>18.0</v>
      </c>
      <c r="F24" s="9"/>
      <c r="G24" s="9"/>
      <c r="H24" s="9"/>
      <c r="I24" s="9">
        <f t="shared" si="4"/>
        <v>537</v>
      </c>
      <c r="J24" s="166">
        <f t="shared" si="5"/>
        <v>447.5</v>
      </c>
      <c r="K24" s="58">
        <v>44725.0</v>
      </c>
      <c r="L24" s="9" t="s">
        <v>460</v>
      </c>
      <c r="M24" s="9" t="s">
        <v>453</v>
      </c>
      <c r="N24" s="9" t="s">
        <v>493</v>
      </c>
      <c r="O24" s="9"/>
      <c r="P24" s="9" t="s">
        <v>712</v>
      </c>
    </row>
    <row r="25" ht="14.25" customHeight="1">
      <c r="A25" s="9">
        <f t="shared" si="3"/>
        <v>22</v>
      </c>
      <c r="B25" s="168" t="s">
        <v>713</v>
      </c>
      <c r="C25" s="9">
        <v>6.0</v>
      </c>
      <c r="D25" s="9"/>
      <c r="E25" s="9"/>
      <c r="F25" s="9"/>
      <c r="G25" s="9"/>
      <c r="H25" s="9"/>
      <c r="I25" s="9">
        <f t="shared" si="4"/>
        <v>102</v>
      </c>
      <c r="J25" s="166">
        <f t="shared" si="5"/>
        <v>85</v>
      </c>
      <c r="K25" s="169">
        <v>44727.0</v>
      </c>
      <c r="L25" s="9" t="s">
        <v>460</v>
      </c>
      <c r="M25" s="9" t="s">
        <v>453</v>
      </c>
      <c r="N25" s="9" t="s">
        <v>676</v>
      </c>
      <c r="O25" s="9"/>
      <c r="P25" s="9" t="s">
        <v>691</v>
      </c>
    </row>
    <row r="26" ht="14.25" customHeight="1">
      <c r="A26" s="9">
        <f t="shared" si="3"/>
        <v>23</v>
      </c>
      <c r="B26" s="168" t="s">
        <v>714</v>
      </c>
      <c r="C26" s="9"/>
      <c r="E26" s="9">
        <v>1.0</v>
      </c>
      <c r="F26" s="9">
        <v>1.0</v>
      </c>
      <c r="G26" s="9"/>
      <c r="H26" s="9"/>
      <c r="I26" s="9">
        <f t="shared" si="4"/>
        <v>45.5</v>
      </c>
      <c r="J26" s="166">
        <f t="shared" si="5"/>
        <v>37.91666667</v>
      </c>
      <c r="K26" s="167">
        <v>44725.0</v>
      </c>
      <c r="L26" s="9" t="s">
        <v>460</v>
      </c>
      <c r="M26" s="9" t="s">
        <v>453</v>
      </c>
      <c r="N26" s="9" t="s">
        <v>493</v>
      </c>
      <c r="O26" s="9"/>
      <c r="P26" s="9" t="s">
        <v>694</v>
      </c>
    </row>
    <row r="27" ht="14.25" customHeight="1">
      <c r="A27" s="9">
        <f t="shared" si="3"/>
        <v>24</v>
      </c>
      <c r="B27" s="9" t="s">
        <v>509</v>
      </c>
      <c r="C27" s="9">
        <v>12.0</v>
      </c>
      <c r="E27" s="9"/>
      <c r="F27" s="9"/>
      <c r="G27" s="9"/>
      <c r="H27" s="9"/>
      <c r="I27" s="9">
        <f t="shared" si="4"/>
        <v>204</v>
      </c>
      <c r="J27" s="166">
        <f t="shared" si="5"/>
        <v>170</v>
      </c>
      <c r="K27" s="169">
        <v>44732.0</v>
      </c>
      <c r="L27" s="9" t="s">
        <v>460</v>
      </c>
      <c r="M27" s="9"/>
      <c r="N27" s="9" t="s">
        <v>493</v>
      </c>
      <c r="O27" s="9"/>
      <c r="P27" s="9" t="s">
        <v>715</v>
      </c>
    </row>
    <row r="28" ht="14.25" customHeight="1">
      <c r="A28" s="9">
        <f t="shared" si="3"/>
        <v>25</v>
      </c>
      <c r="B28" s="170" t="s">
        <v>572</v>
      </c>
      <c r="D28" s="9">
        <v>18.0</v>
      </c>
      <c r="E28" s="9"/>
      <c r="F28" s="9"/>
      <c r="G28" s="9"/>
      <c r="H28" s="9"/>
      <c r="I28" s="9">
        <f t="shared" si="4"/>
        <v>342</v>
      </c>
      <c r="J28" s="166">
        <f t="shared" si="5"/>
        <v>285</v>
      </c>
      <c r="L28" s="9" t="s">
        <v>460</v>
      </c>
      <c r="M28" s="9"/>
      <c r="N28" s="9" t="s">
        <v>493</v>
      </c>
      <c r="P28" s="9" t="s">
        <v>716</v>
      </c>
    </row>
    <row r="29" ht="14.25" customHeight="1">
      <c r="A29" s="9">
        <f t="shared" si="3"/>
        <v>26</v>
      </c>
      <c r="B29" s="171" t="s">
        <v>717</v>
      </c>
      <c r="C29" s="9">
        <v>12.0</v>
      </c>
      <c r="E29" s="9"/>
      <c r="F29" s="9"/>
      <c r="G29" s="9"/>
      <c r="H29" s="9"/>
      <c r="I29" s="9">
        <f t="shared" si="4"/>
        <v>204</v>
      </c>
      <c r="J29" s="166">
        <f t="shared" si="5"/>
        <v>170</v>
      </c>
      <c r="K29" s="58"/>
      <c r="L29" s="13" t="s">
        <v>460</v>
      </c>
      <c r="M29" s="13" t="s">
        <v>453</v>
      </c>
      <c r="N29" s="11" t="s">
        <v>718</v>
      </c>
      <c r="O29" s="31"/>
      <c r="P29" s="9" t="s">
        <v>719</v>
      </c>
    </row>
    <row r="30" ht="14.25" customHeight="1">
      <c r="A30" s="9">
        <f t="shared" si="3"/>
        <v>27</v>
      </c>
      <c r="B30" s="9" t="s">
        <v>500</v>
      </c>
      <c r="C30" s="9">
        <v>6.0</v>
      </c>
      <c r="E30" s="9">
        <v>6.0</v>
      </c>
      <c r="F30" s="9"/>
      <c r="G30" s="9"/>
      <c r="H30" s="9"/>
      <c r="I30" s="9">
        <f t="shared" si="4"/>
        <v>213</v>
      </c>
      <c r="J30" s="166">
        <f t="shared" si="5"/>
        <v>177.5</v>
      </c>
      <c r="K30" s="58">
        <v>44758.0</v>
      </c>
      <c r="L30" s="9" t="s">
        <v>460</v>
      </c>
      <c r="M30" s="9" t="s">
        <v>453</v>
      </c>
      <c r="N30" s="9" t="s">
        <v>489</v>
      </c>
      <c r="O30" s="31"/>
      <c r="P30" s="9" t="s">
        <v>563</v>
      </c>
    </row>
    <row r="31" ht="14.25" customHeight="1">
      <c r="A31" s="9">
        <f t="shared" si="3"/>
        <v>28</v>
      </c>
      <c r="E31" s="9"/>
      <c r="F31" s="9"/>
      <c r="G31" s="9"/>
      <c r="H31" s="9"/>
      <c r="I31" s="9">
        <f t="shared" si="4"/>
        <v>0</v>
      </c>
      <c r="J31" s="166">
        <f t="shared" si="5"/>
        <v>0</v>
      </c>
      <c r="K31" s="58"/>
      <c r="L31" s="13" t="s">
        <v>460</v>
      </c>
      <c r="M31" s="9"/>
      <c r="O31" s="31"/>
      <c r="P31" s="9"/>
    </row>
    <row r="32" ht="14.25" customHeight="1">
      <c r="A32" s="9">
        <f t="shared" si="3"/>
        <v>0</v>
      </c>
      <c r="B32" s="9" t="s">
        <v>452</v>
      </c>
      <c r="C32" s="9">
        <v>18.0</v>
      </c>
      <c r="D32" s="9">
        <v>12.0</v>
      </c>
      <c r="E32" s="9">
        <v>30.0</v>
      </c>
      <c r="F32" s="9"/>
      <c r="G32" s="9"/>
      <c r="H32" s="9"/>
      <c r="I32" s="9">
        <f t="shared" si="4"/>
        <v>0</v>
      </c>
      <c r="J32" s="166">
        <f t="shared" si="5"/>
        <v>0</v>
      </c>
      <c r="K32" s="58">
        <v>44758.0</v>
      </c>
      <c r="L32" s="13" t="s">
        <v>202</v>
      </c>
      <c r="M32" s="9"/>
      <c r="N32" s="9" t="s">
        <v>720</v>
      </c>
      <c r="O32" s="9" t="s">
        <v>721</v>
      </c>
      <c r="P32" s="9" t="s">
        <v>722</v>
      </c>
    </row>
    <row r="33" ht="14.25" customHeight="1">
      <c r="A33" s="9">
        <f t="shared" si="3"/>
        <v>29</v>
      </c>
      <c r="B33" s="9" t="s">
        <v>723</v>
      </c>
      <c r="E33" s="9">
        <v>12.0</v>
      </c>
      <c r="F33" s="9"/>
      <c r="G33" s="9"/>
      <c r="H33" s="9"/>
      <c r="I33" s="9">
        <f t="shared" si="4"/>
        <v>222</v>
      </c>
      <c r="J33" s="166">
        <f t="shared" si="5"/>
        <v>185</v>
      </c>
      <c r="K33" s="58">
        <v>44764.0</v>
      </c>
      <c r="L33" s="9" t="s">
        <v>460</v>
      </c>
      <c r="M33" s="9" t="s">
        <v>453</v>
      </c>
      <c r="N33" s="9" t="s">
        <v>489</v>
      </c>
      <c r="P33" s="9" t="s">
        <v>216</v>
      </c>
    </row>
    <row r="34" ht="14.25" customHeight="1">
      <c r="A34" s="9" t="s">
        <v>724</v>
      </c>
      <c r="B34" s="9" t="s">
        <v>476</v>
      </c>
      <c r="C34" s="9">
        <v>12.0</v>
      </c>
      <c r="D34" s="9">
        <v>14.0</v>
      </c>
      <c r="E34" s="9">
        <v>10.0</v>
      </c>
      <c r="F34" s="9"/>
      <c r="G34" s="9"/>
      <c r="H34" s="9"/>
      <c r="I34" s="9">
        <f t="shared" si="4"/>
        <v>655</v>
      </c>
      <c r="J34" s="166">
        <f t="shared" si="5"/>
        <v>545.8333333</v>
      </c>
      <c r="K34" s="58">
        <v>44758.0</v>
      </c>
      <c r="L34" s="9" t="s">
        <v>477</v>
      </c>
      <c r="M34" s="9" t="s">
        <v>453</v>
      </c>
      <c r="N34" s="9" t="s">
        <v>478</v>
      </c>
      <c r="P34" s="9" t="s">
        <v>623</v>
      </c>
    </row>
    <row r="35" ht="14.25" customHeight="1">
      <c r="A35" s="9">
        <f t="shared" ref="A35:A40" si="6">IF(L35="CAdeau",0,MAX($A$2:A34)+1)</f>
        <v>30</v>
      </c>
      <c r="B35" s="9" t="s">
        <v>695</v>
      </c>
      <c r="C35" s="9">
        <v>132.0</v>
      </c>
      <c r="E35" s="9"/>
      <c r="F35" s="9"/>
      <c r="G35" s="9"/>
      <c r="H35" s="9">
        <v>132.0</v>
      </c>
      <c r="I35" s="9">
        <f t="shared" si="4"/>
        <v>2244</v>
      </c>
      <c r="J35" s="166">
        <f t="shared" si="5"/>
        <v>1870</v>
      </c>
      <c r="K35" s="58">
        <v>44774.0</v>
      </c>
      <c r="L35" s="9" t="s">
        <v>460</v>
      </c>
      <c r="M35" s="9" t="s">
        <v>482</v>
      </c>
      <c r="N35" s="9" t="s">
        <v>493</v>
      </c>
      <c r="O35" s="9" t="s">
        <v>725</v>
      </c>
      <c r="P35" s="9" t="s">
        <v>726</v>
      </c>
    </row>
    <row r="36" ht="14.25" customHeight="1">
      <c r="A36" s="9">
        <f t="shared" si="6"/>
        <v>31</v>
      </c>
      <c r="B36" s="171" t="s">
        <v>561</v>
      </c>
      <c r="E36" s="9">
        <v>24.0</v>
      </c>
      <c r="F36" s="9"/>
      <c r="G36" s="9"/>
      <c r="H36" s="9"/>
      <c r="I36" s="9">
        <f t="shared" si="4"/>
        <v>444</v>
      </c>
      <c r="J36" s="166">
        <f t="shared" si="5"/>
        <v>370</v>
      </c>
      <c r="K36" s="58">
        <v>44769.0</v>
      </c>
      <c r="L36" s="9" t="s">
        <v>460</v>
      </c>
      <c r="M36" s="9" t="s">
        <v>453</v>
      </c>
      <c r="N36" s="9" t="s">
        <v>727</v>
      </c>
      <c r="P36" s="9" t="s">
        <v>728</v>
      </c>
    </row>
    <row r="37" ht="14.25" customHeight="1">
      <c r="A37" s="9">
        <f t="shared" si="6"/>
        <v>32</v>
      </c>
      <c r="B37" s="9" t="s">
        <v>476</v>
      </c>
      <c r="C37" s="9">
        <v>6.0</v>
      </c>
      <c r="E37" s="9">
        <v>3.0</v>
      </c>
      <c r="F37" s="9"/>
      <c r="G37" s="9"/>
      <c r="H37" s="9"/>
      <c r="I37" s="9">
        <f t="shared" si="4"/>
        <v>157.5</v>
      </c>
      <c r="J37" s="166">
        <f t="shared" si="5"/>
        <v>131.25</v>
      </c>
      <c r="K37" s="58">
        <v>44769.0</v>
      </c>
      <c r="L37" s="9" t="s">
        <v>460</v>
      </c>
      <c r="M37" s="9" t="s">
        <v>453</v>
      </c>
      <c r="N37" s="9" t="s">
        <v>493</v>
      </c>
      <c r="P37" s="9" t="s">
        <v>729</v>
      </c>
    </row>
    <row r="38" ht="14.25" customHeight="1">
      <c r="A38" s="9">
        <f t="shared" si="6"/>
        <v>0</v>
      </c>
      <c r="B38" s="9" t="s">
        <v>486</v>
      </c>
      <c r="C38" s="9">
        <v>4.0</v>
      </c>
      <c r="E38" s="9"/>
      <c r="F38" s="9"/>
      <c r="G38" s="9"/>
      <c r="H38" s="9"/>
      <c r="I38" s="9">
        <f t="shared" si="4"/>
        <v>0</v>
      </c>
      <c r="J38" s="166">
        <f t="shared" si="5"/>
        <v>0</v>
      </c>
      <c r="K38" s="58">
        <v>44837.0</v>
      </c>
      <c r="L38" s="9" t="s">
        <v>202</v>
      </c>
      <c r="M38" s="9"/>
      <c r="O38" s="9" t="s">
        <v>499</v>
      </c>
      <c r="P38" s="9" t="s">
        <v>730</v>
      </c>
    </row>
    <row r="39" ht="14.25" customHeight="1">
      <c r="A39" s="9">
        <f t="shared" si="6"/>
        <v>0</v>
      </c>
      <c r="B39" s="9" t="s">
        <v>731</v>
      </c>
      <c r="C39" s="9">
        <v>6.0</v>
      </c>
      <c r="E39" s="9"/>
      <c r="F39" s="9"/>
      <c r="G39" s="9"/>
      <c r="H39" s="9"/>
      <c r="I39" s="9">
        <f t="shared" si="4"/>
        <v>0</v>
      </c>
      <c r="J39" s="166">
        <f t="shared" si="5"/>
        <v>0</v>
      </c>
      <c r="K39" s="58">
        <v>44814.0</v>
      </c>
      <c r="L39" s="9" t="s">
        <v>202</v>
      </c>
      <c r="M39" s="9"/>
    </row>
    <row r="40" ht="14.25" customHeight="1">
      <c r="A40" s="9">
        <f t="shared" si="6"/>
        <v>33</v>
      </c>
      <c r="B40" s="9" t="s">
        <v>713</v>
      </c>
      <c r="D40" s="9">
        <v>12.0</v>
      </c>
      <c r="E40" s="9"/>
      <c r="F40" s="9"/>
      <c r="G40" s="9"/>
      <c r="H40" s="9"/>
      <c r="I40" s="9">
        <f t="shared" si="4"/>
        <v>228</v>
      </c>
      <c r="J40" s="166">
        <f t="shared" si="5"/>
        <v>190</v>
      </c>
      <c r="K40" s="58">
        <v>44838.0</v>
      </c>
      <c r="L40" s="9" t="s">
        <v>460</v>
      </c>
      <c r="M40" s="9"/>
      <c r="N40" s="9" t="s">
        <v>489</v>
      </c>
      <c r="O40" s="9" t="s">
        <v>732</v>
      </c>
    </row>
    <row r="41" ht="14.25" customHeight="1">
      <c r="A41" s="9" t="s">
        <v>733</v>
      </c>
      <c r="B41" s="9" t="s">
        <v>562</v>
      </c>
      <c r="C41" s="9">
        <v>5.0</v>
      </c>
      <c r="D41" s="9">
        <v>4.0</v>
      </c>
      <c r="E41" s="9">
        <v>11.0</v>
      </c>
      <c r="F41" s="9">
        <v>8.0</v>
      </c>
      <c r="G41" s="9"/>
      <c r="H41" s="9"/>
      <c r="I41" s="9">
        <f t="shared" si="4"/>
        <v>580.5</v>
      </c>
      <c r="J41" s="166">
        <f t="shared" si="5"/>
        <v>483.75</v>
      </c>
      <c r="K41" s="59">
        <v>44845.0</v>
      </c>
      <c r="L41" s="9" t="s">
        <v>460</v>
      </c>
      <c r="M41" s="9"/>
      <c r="N41" s="9" t="s">
        <v>734</v>
      </c>
      <c r="O41" s="9" t="s">
        <v>735</v>
      </c>
      <c r="P41" s="9" t="s">
        <v>736</v>
      </c>
    </row>
    <row r="42" ht="14.25" customHeight="1">
      <c r="A42" s="9">
        <f t="shared" ref="A42:A44" si="7">IF(L42="CAdeau",0,MAX($A$2:A41)+1)</f>
        <v>34</v>
      </c>
      <c r="B42" s="9" t="s">
        <v>737</v>
      </c>
      <c r="E42" s="9">
        <v>2.0</v>
      </c>
      <c r="F42" s="9"/>
      <c r="G42" s="9"/>
      <c r="H42" s="9"/>
      <c r="I42" s="9">
        <f t="shared" si="4"/>
        <v>37</v>
      </c>
      <c r="J42" s="166">
        <f t="shared" si="5"/>
        <v>30.83333333</v>
      </c>
      <c r="K42" s="58">
        <v>44845.0</v>
      </c>
      <c r="L42" s="9" t="s">
        <v>460</v>
      </c>
      <c r="M42" s="9"/>
      <c r="N42" s="9" t="s">
        <v>734</v>
      </c>
      <c r="O42" s="9" t="s">
        <v>738</v>
      </c>
    </row>
    <row r="43" ht="14.25" customHeight="1">
      <c r="A43" s="9">
        <f t="shared" si="7"/>
        <v>0</v>
      </c>
      <c r="B43" s="9" t="s">
        <v>452</v>
      </c>
      <c r="C43" s="9">
        <v>7.0</v>
      </c>
      <c r="D43" s="9">
        <v>2.0</v>
      </c>
      <c r="E43" s="9">
        <v>4.0</v>
      </c>
      <c r="F43" s="9"/>
      <c r="G43" s="9"/>
      <c r="H43" s="9"/>
      <c r="I43" s="9">
        <f t="shared" si="4"/>
        <v>0</v>
      </c>
      <c r="J43" s="166">
        <f t="shared" si="5"/>
        <v>0</v>
      </c>
      <c r="K43" s="58">
        <v>44858.0</v>
      </c>
      <c r="L43" s="9" t="s">
        <v>202</v>
      </c>
      <c r="M43" s="9"/>
      <c r="O43" s="9" t="s">
        <v>563</v>
      </c>
      <c r="P43" s="9" t="s">
        <v>110</v>
      </c>
    </row>
    <row r="44" ht="14.25" customHeight="1">
      <c r="A44" s="9">
        <f t="shared" si="7"/>
        <v>35</v>
      </c>
      <c r="B44" s="9" t="s">
        <v>500</v>
      </c>
      <c r="C44" s="9">
        <v>6.0</v>
      </c>
      <c r="E44" s="9">
        <v>12.0</v>
      </c>
      <c r="F44" s="9"/>
      <c r="G44" s="9"/>
      <c r="H44" s="9"/>
      <c r="I44" s="9">
        <f t="shared" si="4"/>
        <v>324</v>
      </c>
      <c r="J44" s="166">
        <f t="shared" si="5"/>
        <v>270</v>
      </c>
      <c r="K44" s="58">
        <v>44857.0</v>
      </c>
      <c r="L44" s="9" t="s">
        <v>460</v>
      </c>
      <c r="M44" s="9"/>
      <c r="N44" s="9" t="s">
        <v>739</v>
      </c>
      <c r="O44" s="9" t="s">
        <v>563</v>
      </c>
    </row>
    <row r="45" ht="14.25" customHeight="1">
      <c r="A45" s="9">
        <v>5.0</v>
      </c>
      <c r="B45" s="9" t="s">
        <v>740</v>
      </c>
      <c r="C45" s="9"/>
      <c r="D45" s="9">
        <v>2.0</v>
      </c>
      <c r="E45" s="9">
        <v>2.0</v>
      </c>
      <c r="F45" s="9">
        <v>2.0</v>
      </c>
      <c r="G45" s="9"/>
      <c r="H45" s="9"/>
      <c r="I45" s="9">
        <f t="shared" si="4"/>
        <v>129</v>
      </c>
      <c r="J45" s="166">
        <f t="shared" si="5"/>
        <v>107.5</v>
      </c>
      <c r="K45" s="58">
        <v>44864.0</v>
      </c>
      <c r="L45" s="9" t="s">
        <v>460</v>
      </c>
      <c r="M45" s="9"/>
      <c r="N45" s="9" t="s">
        <v>489</v>
      </c>
      <c r="O45" s="9" t="s">
        <v>563</v>
      </c>
    </row>
    <row r="46" ht="14.25" customHeight="1">
      <c r="H46" s="9"/>
      <c r="I46" s="9">
        <f t="shared" si="4"/>
        <v>0</v>
      </c>
      <c r="J46" s="166">
        <f t="shared" si="5"/>
        <v>0</v>
      </c>
      <c r="K46" s="58"/>
      <c r="L46" s="9"/>
      <c r="M46" s="9"/>
    </row>
    <row r="47" ht="14.25" customHeight="1">
      <c r="A47" s="9">
        <f>IF(L47="CAdeau",0,MAX($A$2:A45)+1)</f>
        <v>36</v>
      </c>
      <c r="B47" s="9" t="s">
        <v>502</v>
      </c>
      <c r="C47" s="9">
        <v>2.0</v>
      </c>
      <c r="D47" s="9">
        <v>2.0</v>
      </c>
      <c r="E47" s="9">
        <v>5.0</v>
      </c>
      <c r="F47" s="9"/>
      <c r="G47" s="9"/>
      <c r="H47" s="9"/>
      <c r="I47" s="9">
        <f t="shared" si="4"/>
        <v>164.5</v>
      </c>
      <c r="J47" s="166">
        <f t="shared" si="5"/>
        <v>137.0833333</v>
      </c>
      <c r="K47" s="58">
        <v>44865.0</v>
      </c>
      <c r="L47" s="9"/>
      <c r="M47" s="9"/>
      <c r="N47" s="9" t="s">
        <v>489</v>
      </c>
      <c r="O47" s="9" t="s">
        <v>563</v>
      </c>
    </row>
    <row r="48" ht="14.25" customHeight="1">
      <c r="A48" s="9">
        <f t="shared" ref="A48:A60" si="8">IF(L48="CAdeau",0,MAX($A$2:A47)+1)</f>
        <v>0</v>
      </c>
      <c r="B48" s="9" t="s">
        <v>452</v>
      </c>
      <c r="C48" s="9">
        <v>24.0</v>
      </c>
      <c r="D48" s="9">
        <v>24.0</v>
      </c>
      <c r="E48" s="9">
        <v>36.0</v>
      </c>
      <c r="F48" s="9">
        <v>12.0</v>
      </c>
      <c r="G48" s="9"/>
      <c r="H48" s="9"/>
      <c r="I48" s="9">
        <f t="shared" si="4"/>
        <v>0</v>
      </c>
      <c r="J48" s="166">
        <f t="shared" si="5"/>
        <v>0</v>
      </c>
      <c r="K48" s="58">
        <v>44845.0</v>
      </c>
      <c r="L48" s="13" t="s">
        <v>202</v>
      </c>
      <c r="M48" s="9"/>
      <c r="N48" s="9" t="s">
        <v>741</v>
      </c>
      <c r="O48" s="9" t="s">
        <v>563</v>
      </c>
    </row>
    <row r="49" ht="14.25" customHeight="1">
      <c r="A49" s="9">
        <f t="shared" si="8"/>
        <v>0</v>
      </c>
      <c r="B49" s="9" t="s">
        <v>742</v>
      </c>
      <c r="C49" s="13">
        <v>6.0</v>
      </c>
      <c r="D49" s="9">
        <v>12.0</v>
      </c>
      <c r="E49" s="9"/>
      <c r="F49" s="9"/>
      <c r="G49" s="13">
        <v>15.0</v>
      </c>
      <c r="H49" s="9"/>
      <c r="I49" s="9">
        <f t="shared" si="4"/>
        <v>0</v>
      </c>
      <c r="J49" s="166">
        <f t="shared" si="5"/>
        <v>0</v>
      </c>
      <c r="K49" s="58">
        <v>44849.0</v>
      </c>
      <c r="L49" s="9" t="s">
        <v>202</v>
      </c>
      <c r="M49" s="9"/>
      <c r="N49" s="9" t="s">
        <v>111</v>
      </c>
      <c r="O49" s="9" t="s">
        <v>743</v>
      </c>
      <c r="P49" s="9" t="s">
        <v>744</v>
      </c>
    </row>
    <row r="50" ht="14.25" customHeight="1">
      <c r="A50" s="9">
        <f t="shared" si="8"/>
        <v>37</v>
      </c>
      <c r="B50" s="9" t="s">
        <v>745</v>
      </c>
      <c r="E50" s="9">
        <v>12.0</v>
      </c>
      <c r="F50" s="9"/>
      <c r="G50" s="9"/>
      <c r="H50" s="9"/>
      <c r="I50" s="9">
        <f t="shared" si="4"/>
        <v>222</v>
      </c>
      <c r="J50" s="166">
        <f t="shared" si="5"/>
        <v>185</v>
      </c>
      <c r="K50" s="58">
        <v>44885.0</v>
      </c>
      <c r="L50" s="9"/>
      <c r="M50" s="9" t="s">
        <v>453</v>
      </c>
      <c r="N50" s="11" t="s">
        <v>718</v>
      </c>
    </row>
    <row r="51" ht="14.25" customHeight="1">
      <c r="A51" s="9">
        <f t="shared" si="8"/>
        <v>38</v>
      </c>
      <c r="B51" s="9" t="s">
        <v>479</v>
      </c>
      <c r="C51" s="9">
        <v>12.0</v>
      </c>
      <c r="E51" s="9">
        <v>6.0</v>
      </c>
      <c r="F51" s="9"/>
      <c r="G51" s="9"/>
      <c r="H51" s="9"/>
      <c r="I51" s="9">
        <f t="shared" si="4"/>
        <v>315</v>
      </c>
      <c r="J51" s="166">
        <f t="shared" si="5"/>
        <v>262.5</v>
      </c>
      <c r="K51" s="58">
        <v>44885.0</v>
      </c>
      <c r="L51" s="9"/>
      <c r="M51" s="9" t="s">
        <v>453</v>
      </c>
      <c r="N51" s="13" t="s">
        <v>746</v>
      </c>
      <c r="O51" s="9" t="s">
        <v>747</v>
      </c>
    </row>
    <row r="52" ht="14.25" customHeight="1">
      <c r="A52" s="9">
        <f t="shared" si="8"/>
        <v>39</v>
      </c>
      <c r="B52" s="13" t="s">
        <v>450</v>
      </c>
      <c r="E52" s="13">
        <v>0.0</v>
      </c>
      <c r="F52" s="9"/>
      <c r="G52" s="9"/>
      <c r="H52" s="9"/>
      <c r="I52" s="9">
        <f t="shared" si="4"/>
        <v>0</v>
      </c>
      <c r="J52" s="166">
        <f t="shared" si="5"/>
        <v>0</v>
      </c>
      <c r="K52" s="58">
        <v>44886.0</v>
      </c>
      <c r="L52" s="9"/>
      <c r="M52" s="9" t="s">
        <v>453</v>
      </c>
    </row>
    <row r="53" ht="14.25" customHeight="1">
      <c r="A53" s="9">
        <f t="shared" si="8"/>
        <v>0</v>
      </c>
      <c r="B53" s="55" t="s">
        <v>486</v>
      </c>
      <c r="C53" s="55">
        <v>2.0</v>
      </c>
      <c r="D53" s="55"/>
      <c r="E53" s="55"/>
      <c r="F53" s="55"/>
      <c r="G53" s="55"/>
      <c r="H53" s="55"/>
      <c r="I53" s="9">
        <f t="shared" si="4"/>
        <v>0</v>
      </c>
      <c r="J53" s="166">
        <f t="shared" si="5"/>
        <v>0</v>
      </c>
      <c r="K53" s="172">
        <v>44889.0</v>
      </c>
      <c r="L53" s="9" t="s">
        <v>202</v>
      </c>
      <c r="M53" s="9"/>
      <c r="O53" s="9" t="s">
        <v>614</v>
      </c>
      <c r="P53" s="55"/>
    </row>
    <row r="54" ht="14.25" customHeight="1">
      <c r="A54" s="9">
        <f t="shared" si="8"/>
        <v>40</v>
      </c>
      <c r="B54" s="9" t="s">
        <v>479</v>
      </c>
      <c r="E54" s="9">
        <v>12.0</v>
      </c>
      <c r="F54" s="9"/>
      <c r="G54" s="9"/>
      <c r="H54" s="9"/>
      <c r="I54" s="9">
        <f t="shared" si="4"/>
        <v>222</v>
      </c>
      <c r="J54" s="166">
        <f t="shared" si="5"/>
        <v>185</v>
      </c>
      <c r="K54" s="58">
        <v>44889.0</v>
      </c>
      <c r="L54" s="9"/>
      <c r="M54" s="9" t="s">
        <v>453</v>
      </c>
      <c r="N54" s="11" t="s">
        <v>748</v>
      </c>
    </row>
    <row r="55" ht="14.25" customHeight="1">
      <c r="A55" s="9">
        <f t="shared" si="8"/>
        <v>41</v>
      </c>
      <c r="B55" s="9" t="s">
        <v>572</v>
      </c>
      <c r="C55" s="9">
        <v>6.0</v>
      </c>
      <c r="E55" s="9"/>
      <c r="F55" s="9"/>
      <c r="G55" s="9"/>
      <c r="H55" s="9"/>
      <c r="I55" s="9">
        <f t="shared" si="4"/>
        <v>102</v>
      </c>
      <c r="J55" s="166">
        <f t="shared" si="5"/>
        <v>85</v>
      </c>
      <c r="K55" s="58">
        <v>44891.0</v>
      </c>
      <c r="L55" s="9"/>
      <c r="M55" s="9" t="s">
        <v>453</v>
      </c>
      <c r="O55" s="9" t="s">
        <v>749</v>
      </c>
    </row>
    <row r="56" ht="14.25" customHeight="1">
      <c r="A56" s="9">
        <f t="shared" si="8"/>
        <v>42</v>
      </c>
      <c r="B56" s="9" t="s">
        <v>450</v>
      </c>
      <c r="E56" s="9"/>
      <c r="F56" s="9"/>
      <c r="G56" s="13">
        <v>0.0</v>
      </c>
      <c r="I56" s="9">
        <f>IF(L56="Cadeau",0,C56*$S$2+D56*$S$3+E56*$S$4+F56*$S$5+G56*$S$6)</f>
        <v>0</v>
      </c>
      <c r="J56" s="166">
        <f t="shared" si="5"/>
        <v>0</v>
      </c>
      <c r="K56" s="58"/>
      <c r="L56" s="9"/>
      <c r="M56" s="9"/>
    </row>
    <row r="57" ht="14.25" customHeight="1">
      <c r="A57" s="9">
        <f t="shared" si="8"/>
        <v>43</v>
      </c>
      <c r="B57" s="13" t="s">
        <v>750</v>
      </c>
      <c r="E57" s="13">
        <v>30.0</v>
      </c>
      <c r="F57" s="13">
        <v>12.0</v>
      </c>
      <c r="G57" s="9"/>
      <c r="H57" s="9"/>
      <c r="I57" s="9">
        <f t="shared" ref="I57:I60" si="9">IF(L57="Cadeau",0,C57*$S$2+D57*$S$3+E57*$S$4+F57*$S$5)</f>
        <v>879</v>
      </c>
      <c r="J57" s="166">
        <f t="shared" si="5"/>
        <v>732.5</v>
      </c>
      <c r="K57" s="46">
        <v>44897.0</v>
      </c>
      <c r="L57" s="9"/>
      <c r="M57" s="13" t="s">
        <v>453</v>
      </c>
      <c r="N57" s="11" t="s">
        <v>751</v>
      </c>
    </row>
    <row r="58" ht="14.25" customHeight="1">
      <c r="A58" s="9">
        <f t="shared" si="8"/>
        <v>44</v>
      </c>
      <c r="B58" s="13" t="s">
        <v>680</v>
      </c>
      <c r="C58" s="11">
        <v>7.0</v>
      </c>
      <c r="E58" s="9"/>
      <c r="F58" s="13"/>
      <c r="G58" s="9"/>
      <c r="H58" s="13"/>
      <c r="I58" s="9">
        <f t="shared" si="9"/>
        <v>119</v>
      </c>
      <c r="J58" s="166">
        <f t="shared" si="5"/>
        <v>99.16666667</v>
      </c>
      <c r="K58" s="46">
        <v>44900.0</v>
      </c>
      <c r="L58" s="13" t="s">
        <v>460</v>
      </c>
      <c r="M58" s="13" t="s">
        <v>453</v>
      </c>
      <c r="N58" s="11" t="s">
        <v>752</v>
      </c>
      <c r="O58" s="11" t="s">
        <v>753</v>
      </c>
    </row>
    <row r="59" ht="14.25" customHeight="1">
      <c r="A59" s="9">
        <f t="shared" si="8"/>
        <v>45</v>
      </c>
      <c r="B59" s="13" t="s">
        <v>754</v>
      </c>
      <c r="C59" s="11">
        <v>6.0</v>
      </c>
      <c r="E59" s="9"/>
      <c r="F59" s="9"/>
      <c r="G59" s="9"/>
      <c r="H59" s="9"/>
      <c r="I59" s="9">
        <f t="shared" si="9"/>
        <v>102</v>
      </c>
      <c r="J59" s="166">
        <f t="shared" si="5"/>
        <v>85</v>
      </c>
      <c r="K59" s="46">
        <v>44919.0</v>
      </c>
      <c r="L59" s="13" t="s">
        <v>460</v>
      </c>
      <c r="M59" s="13"/>
      <c r="N59" s="11" t="s">
        <v>493</v>
      </c>
      <c r="O59" s="11" t="s">
        <v>755</v>
      </c>
    </row>
    <row r="60" ht="14.25" customHeight="1">
      <c r="A60" s="9">
        <f t="shared" si="8"/>
        <v>46</v>
      </c>
      <c r="B60" s="13" t="s">
        <v>566</v>
      </c>
      <c r="C60" s="11">
        <v>2.0</v>
      </c>
      <c r="E60" s="9"/>
      <c r="F60" s="9"/>
      <c r="G60" s="9"/>
      <c r="H60" s="9"/>
      <c r="I60" s="9">
        <f t="shared" si="9"/>
        <v>34</v>
      </c>
      <c r="J60" s="166">
        <f t="shared" si="5"/>
        <v>28.33333333</v>
      </c>
      <c r="K60" s="57">
        <v>44923.0</v>
      </c>
      <c r="L60" s="13" t="s">
        <v>460</v>
      </c>
      <c r="M60" s="13" t="s">
        <v>453</v>
      </c>
      <c r="N60" s="11" t="s">
        <v>489</v>
      </c>
      <c r="O60" s="11" t="s">
        <v>756</v>
      </c>
    </row>
    <row r="61" ht="14.25" customHeight="1">
      <c r="A61" s="9"/>
      <c r="B61" s="13" t="s">
        <v>546</v>
      </c>
      <c r="C61" s="11">
        <v>2.0</v>
      </c>
      <c r="E61" s="9"/>
      <c r="F61" s="9"/>
      <c r="G61" s="9"/>
      <c r="H61" s="9"/>
      <c r="I61" s="13">
        <v>0.0</v>
      </c>
      <c r="J61" s="13">
        <v>0.0</v>
      </c>
      <c r="K61" s="13" t="s">
        <v>757</v>
      </c>
      <c r="L61" s="13" t="s">
        <v>202</v>
      </c>
      <c r="M61" s="9"/>
      <c r="N61" s="11" t="s">
        <v>111</v>
      </c>
      <c r="O61" s="11" t="s">
        <v>756</v>
      </c>
    </row>
    <row r="62" ht="14.25" customHeight="1">
      <c r="A62" s="9">
        <f t="shared" ref="A62:A98" si="10">IF(L62="CAdeau",0,MAX($A$2:A61)+1)</f>
        <v>0</v>
      </c>
      <c r="B62" s="13" t="s">
        <v>486</v>
      </c>
      <c r="C62" s="11">
        <v>1.0</v>
      </c>
      <c r="D62" s="11">
        <v>1.0</v>
      </c>
      <c r="E62" s="13">
        <v>1.0</v>
      </c>
      <c r="F62" s="9"/>
      <c r="G62" s="9"/>
      <c r="H62" s="9"/>
      <c r="I62" s="9"/>
      <c r="J62" s="9"/>
      <c r="K62" s="46">
        <v>45291.0</v>
      </c>
      <c r="L62" s="13" t="s">
        <v>202</v>
      </c>
      <c r="M62" s="9"/>
      <c r="N62" s="11" t="s">
        <v>111</v>
      </c>
      <c r="O62" s="11" t="s">
        <v>758</v>
      </c>
    </row>
    <row r="63" ht="14.25" customHeight="1">
      <c r="A63" s="9">
        <f t="shared" si="10"/>
        <v>47</v>
      </c>
      <c r="B63" s="9"/>
      <c r="E63" s="9"/>
      <c r="F63" s="9"/>
      <c r="G63" s="9"/>
      <c r="H63" s="9"/>
      <c r="I63" s="9"/>
      <c r="J63" s="9"/>
      <c r="K63" s="58"/>
      <c r="L63" s="9"/>
      <c r="M63" s="9"/>
    </row>
    <row r="64" ht="14.25" customHeight="1">
      <c r="A64" s="9">
        <f t="shared" si="10"/>
        <v>48</v>
      </c>
      <c r="B64" s="9"/>
      <c r="E64" s="9"/>
      <c r="F64" s="9"/>
      <c r="G64" s="9"/>
      <c r="H64" s="9"/>
      <c r="I64" s="9"/>
      <c r="J64" s="9"/>
      <c r="K64" s="58"/>
      <c r="L64" s="9"/>
      <c r="M64" s="9"/>
    </row>
    <row r="65" ht="14.25" customHeight="1">
      <c r="A65" s="9">
        <f t="shared" si="10"/>
        <v>49</v>
      </c>
      <c r="B65" s="9"/>
      <c r="E65" s="9"/>
      <c r="F65" s="9"/>
      <c r="G65" s="9"/>
      <c r="H65" s="9"/>
      <c r="I65" s="9"/>
      <c r="J65" s="9"/>
      <c r="K65" s="58"/>
      <c r="L65" s="9"/>
      <c r="M65" s="9"/>
    </row>
    <row r="66" ht="14.25" customHeight="1">
      <c r="A66" s="9">
        <f t="shared" si="10"/>
        <v>50</v>
      </c>
      <c r="B66" s="9"/>
      <c r="E66" s="9"/>
      <c r="F66" s="9"/>
      <c r="G66" s="9"/>
      <c r="H66" s="9"/>
      <c r="I66" s="9"/>
      <c r="J66" s="9"/>
      <c r="K66" s="58"/>
      <c r="L66" s="9"/>
      <c r="M66" s="9"/>
    </row>
    <row r="67" ht="14.25" customHeight="1">
      <c r="A67" s="9">
        <f t="shared" si="10"/>
        <v>51</v>
      </c>
      <c r="B67" s="9"/>
      <c r="E67" s="9"/>
      <c r="F67" s="9"/>
      <c r="G67" s="9"/>
      <c r="H67" s="9"/>
      <c r="I67" s="9"/>
      <c r="J67" s="9"/>
      <c r="K67" s="58"/>
      <c r="L67" s="9"/>
      <c r="M67" s="9"/>
    </row>
    <row r="68" ht="14.25" customHeight="1">
      <c r="A68" s="9">
        <f t="shared" si="10"/>
        <v>52</v>
      </c>
      <c r="B68" s="9"/>
      <c r="E68" s="9"/>
      <c r="F68" s="9"/>
      <c r="G68" s="9"/>
      <c r="H68" s="9"/>
      <c r="I68" s="9"/>
      <c r="J68" s="9"/>
      <c r="K68" s="58"/>
      <c r="L68" s="9"/>
      <c r="M68" s="9"/>
    </row>
    <row r="69" ht="14.25" customHeight="1">
      <c r="A69" s="9">
        <f t="shared" si="10"/>
        <v>53</v>
      </c>
      <c r="B69" s="9"/>
      <c r="E69" s="9"/>
      <c r="F69" s="9"/>
      <c r="G69" s="9"/>
      <c r="H69" s="9"/>
      <c r="I69" s="9"/>
      <c r="J69" s="9"/>
      <c r="K69" s="58"/>
      <c r="L69" s="9"/>
      <c r="M69" s="9"/>
    </row>
    <row r="70" ht="14.25" customHeight="1">
      <c r="A70" s="9">
        <f t="shared" si="10"/>
        <v>54</v>
      </c>
      <c r="B70" s="9"/>
      <c r="E70" s="9"/>
      <c r="F70" s="9"/>
      <c r="G70" s="9"/>
      <c r="H70" s="9"/>
      <c r="I70" s="9"/>
      <c r="J70" s="9"/>
      <c r="K70" s="58"/>
      <c r="L70" s="9"/>
      <c r="M70" s="9"/>
    </row>
    <row r="71" ht="14.25" customHeight="1">
      <c r="A71" s="9">
        <f t="shared" si="10"/>
        <v>55</v>
      </c>
      <c r="B71" s="9"/>
      <c r="E71" s="9"/>
      <c r="F71" s="9"/>
      <c r="G71" s="9"/>
      <c r="H71" s="9"/>
      <c r="I71" s="9"/>
      <c r="J71" s="9"/>
      <c r="K71" s="58"/>
      <c r="L71" s="9"/>
      <c r="M71" s="9"/>
    </row>
    <row r="72" ht="14.25" customHeight="1">
      <c r="A72" s="9">
        <f t="shared" si="10"/>
        <v>56</v>
      </c>
      <c r="B72" s="9"/>
      <c r="E72" s="9"/>
      <c r="F72" s="9"/>
      <c r="G72" s="9"/>
      <c r="H72" s="9"/>
      <c r="I72" s="9"/>
      <c r="J72" s="9"/>
      <c r="K72" s="58"/>
      <c r="L72" s="9"/>
      <c r="M72" s="9"/>
    </row>
    <row r="73" ht="14.25" customHeight="1">
      <c r="A73" s="9">
        <f t="shared" si="10"/>
        <v>57</v>
      </c>
      <c r="B73" s="9"/>
      <c r="E73" s="9"/>
      <c r="F73" s="9"/>
      <c r="G73" s="9"/>
      <c r="H73" s="9"/>
      <c r="I73" s="9"/>
      <c r="J73" s="9"/>
      <c r="K73" s="58"/>
      <c r="L73" s="9"/>
      <c r="M73" s="9"/>
    </row>
    <row r="74" ht="14.25" customHeight="1">
      <c r="A74" s="9">
        <f t="shared" si="10"/>
        <v>58</v>
      </c>
      <c r="B74" s="9"/>
      <c r="E74" s="9"/>
      <c r="F74" s="9"/>
      <c r="G74" s="9"/>
      <c r="H74" s="9"/>
      <c r="I74" s="9"/>
      <c r="J74" s="9"/>
      <c r="K74" s="58"/>
      <c r="L74" s="9"/>
      <c r="M74" s="9"/>
    </row>
    <row r="75" ht="14.25" customHeight="1">
      <c r="A75" s="9">
        <f t="shared" si="10"/>
        <v>59</v>
      </c>
      <c r="B75" s="9"/>
      <c r="E75" s="9"/>
      <c r="F75" s="9"/>
      <c r="G75" s="9"/>
      <c r="H75" s="9"/>
      <c r="I75" s="9"/>
      <c r="J75" s="9"/>
      <c r="K75" s="58"/>
      <c r="L75" s="9"/>
      <c r="M75" s="9"/>
    </row>
    <row r="76" ht="14.25" customHeight="1">
      <c r="A76" s="9">
        <f t="shared" si="10"/>
        <v>60</v>
      </c>
      <c r="B76" s="9"/>
      <c r="E76" s="9"/>
      <c r="F76" s="9"/>
      <c r="G76" s="9"/>
      <c r="H76" s="9"/>
      <c r="I76" s="9"/>
      <c r="J76" s="9"/>
      <c r="K76" s="58"/>
      <c r="L76" s="9"/>
      <c r="M76" s="9"/>
    </row>
    <row r="77" ht="14.25" customHeight="1">
      <c r="A77" s="9">
        <f t="shared" si="10"/>
        <v>61</v>
      </c>
      <c r="B77" s="9"/>
      <c r="E77" s="9"/>
      <c r="F77" s="9"/>
      <c r="G77" s="9"/>
      <c r="H77" s="9"/>
      <c r="I77" s="9"/>
      <c r="J77" s="9"/>
      <c r="L77" s="9"/>
      <c r="M77" s="9"/>
    </row>
    <row r="78" ht="14.25" customHeight="1">
      <c r="A78" s="9">
        <f t="shared" si="10"/>
        <v>62</v>
      </c>
      <c r="B78" s="9"/>
      <c r="E78" s="9"/>
      <c r="F78" s="9"/>
      <c r="G78" s="9"/>
      <c r="H78" s="9"/>
      <c r="I78" s="9"/>
      <c r="J78" s="9"/>
      <c r="L78" s="9"/>
      <c r="M78" s="9"/>
    </row>
    <row r="79" ht="14.25" customHeight="1">
      <c r="A79" s="9">
        <f t="shared" si="10"/>
        <v>63</v>
      </c>
      <c r="B79" s="9"/>
      <c r="E79" s="9"/>
      <c r="F79" s="9"/>
      <c r="G79" s="9"/>
      <c r="H79" s="9"/>
      <c r="I79" s="9"/>
      <c r="J79" s="9"/>
      <c r="K79" s="58"/>
      <c r="L79" s="9"/>
      <c r="M79" s="9"/>
    </row>
    <row r="80" ht="14.25" customHeight="1">
      <c r="A80" s="9">
        <f t="shared" si="10"/>
        <v>64</v>
      </c>
      <c r="B80" s="9"/>
      <c r="E80" s="9"/>
      <c r="F80" s="9"/>
      <c r="G80" s="9"/>
      <c r="H80" s="9"/>
      <c r="I80" s="9"/>
      <c r="J80" s="9"/>
      <c r="K80" s="58"/>
      <c r="L80" s="9"/>
      <c r="M80" s="9"/>
    </row>
    <row r="81" ht="14.25" customHeight="1">
      <c r="A81" s="9">
        <f t="shared" si="10"/>
        <v>65</v>
      </c>
      <c r="B81" s="9"/>
      <c r="E81" s="9"/>
      <c r="F81" s="9"/>
      <c r="G81" s="9"/>
      <c r="H81" s="9"/>
      <c r="I81" s="9"/>
      <c r="J81" s="9"/>
      <c r="K81" s="58"/>
      <c r="L81" s="9"/>
      <c r="M81" s="9"/>
    </row>
    <row r="82" ht="14.25" customHeight="1">
      <c r="A82" s="9">
        <f t="shared" si="10"/>
        <v>66</v>
      </c>
      <c r="B82" s="9"/>
      <c r="E82" s="9"/>
      <c r="F82" s="9"/>
      <c r="G82" s="9"/>
      <c r="H82" s="9"/>
      <c r="I82" s="9"/>
      <c r="J82" s="9"/>
      <c r="K82" s="58"/>
      <c r="L82" s="9"/>
      <c r="M82" s="9"/>
    </row>
    <row r="83" ht="14.25" customHeight="1">
      <c r="A83" s="9">
        <f t="shared" si="10"/>
        <v>67</v>
      </c>
      <c r="B83" s="9"/>
      <c r="E83" s="9"/>
      <c r="F83" s="9"/>
      <c r="G83" s="9"/>
      <c r="H83" s="9"/>
      <c r="I83" s="9"/>
      <c r="J83" s="9"/>
      <c r="K83" s="58"/>
      <c r="L83" s="9"/>
      <c r="M83" s="9"/>
    </row>
    <row r="84" ht="14.25" customHeight="1">
      <c r="A84" s="9">
        <f t="shared" si="10"/>
        <v>68</v>
      </c>
      <c r="B84" s="9"/>
      <c r="E84" s="9"/>
      <c r="F84" s="9"/>
      <c r="G84" s="9"/>
      <c r="H84" s="9"/>
      <c r="I84" s="9"/>
      <c r="J84" s="9"/>
      <c r="K84" s="58"/>
      <c r="L84" s="9"/>
      <c r="M84" s="9"/>
    </row>
    <row r="85" ht="14.25" customHeight="1">
      <c r="A85" s="9">
        <f t="shared" si="10"/>
        <v>69</v>
      </c>
      <c r="B85" s="9"/>
      <c r="E85" s="9"/>
      <c r="F85" s="9"/>
      <c r="G85" s="9"/>
      <c r="H85" s="9"/>
      <c r="I85" s="9"/>
      <c r="J85" s="9"/>
      <c r="K85" s="58"/>
      <c r="L85" s="9"/>
      <c r="M85" s="9"/>
    </row>
    <row r="86" ht="14.25" customHeight="1">
      <c r="A86" s="9">
        <f t="shared" si="10"/>
        <v>70</v>
      </c>
      <c r="B86" s="9"/>
      <c r="E86" s="9"/>
      <c r="F86" s="9"/>
      <c r="G86" s="9"/>
      <c r="H86" s="9"/>
      <c r="I86" s="9"/>
      <c r="J86" s="9"/>
      <c r="K86" s="58"/>
      <c r="L86" s="9"/>
      <c r="M86" s="9"/>
    </row>
    <row r="87" ht="14.25" customHeight="1">
      <c r="A87" s="9">
        <f t="shared" si="10"/>
        <v>71</v>
      </c>
      <c r="B87" s="9"/>
      <c r="E87" s="9"/>
      <c r="F87" s="9"/>
      <c r="G87" s="9"/>
      <c r="H87" s="9"/>
      <c r="I87" s="9"/>
      <c r="J87" s="9"/>
      <c r="L87" s="9"/>
      <c r="M87" s="9"/>
    </row>
    <row r="88" ht="14.25" customHeight="1">
      <c r="A88" s="9">
        <f t="shared" si="10"/>
        <v>72</v>
      </c>
      <c r="B88" s="9"/>
      <c r="E88" s="9"/>
      <c r="F88" s="9"/>
      <c r="G88" s="9"/>
      <c r="H88" s="9"/>
      <c r="I88" s="9"/>
      <c r="J88" s="9"/>
      <c r="K88" s="58"/>
      <c r="L88" s="9"/>
      <c r="M88" s="9"/>
    </row>
    <row r="89" ht="14.25" customHeight="1">
      <c r="A89" s="9">
        <f t="shared" si="10"/>
        <v>73</v>
      </c>
      <c r="B89" s="9"/>
      <c r="E89" s="9"/>
      <c r="F89" s="9"/>
      <c r="G89" s="9"/>
      <c r="H89" s="9"/>
      <c r="I89" s="9"/>
      <c r="J89" s="9"/>
      <c r="K89" s="58"/>
      <c r="L89" s="9"/>
      <c r="M89" s="9"/>
    </row>
    <row r="90" ht="14.25" customHeight="1">
      <c r="A90" s="9">
        <f t="shared" si="10"/>
        <v>74</v>
      </c>
      <c r="B90" s="9"/>
      <c r="E90" s="9"/>
      <c r="F90" s="9"/>
      <c r="G90" s="9"/>
      <c r="H90" s="9"/>
      <c r="I90" s="9"/>
      <c r="J90" s="9"/>
      <c r="K90" s="58"/>
      <c r="L90" s="9"/>
      <c r="M90" s="9"/>
    </row>
    <row r="91" ht="14.25" customHeight="1">
      <c r="A91" s="9">
        <f t="shared" si="10"/>
        <v>75</v>
      </c>
      <c r="B91" s="9"/>
      <c r="E91" s="9"/>
      <c r="F91" s="9"/>
      <c r="G91" s="9"/>
      <c r="H91" s="9"/>
      <c r="I91" s="9"/>
      <c r="J91" s="9"/>
      <c r="K91" s="58"/>
      <c r="L91" s="9"/>
      <c r="M91" s="9"/>
    </row>
    <row r="92" ht="14.25" customHeight="1">
      <c r="A92" s="9">
        <f t="shared" si="10"/>
        <v>76</v>
      </c>
      <c r="B92" s="9"/>
      <c r="E92" s="9"/>
      <c r="F92" s="9"/>
      <c r="G92" s="9"/>
      <c r="H92" s="9"/>
      <c r="I92" s="9"/>
      <c r="J92" s="9"/>
      <c r="K92" s="59"/>
      <c r="L92" s="9"/>
      <c r="M92" s="9"/>
    </row>
    <row r="93" ht="14.25" customHeight="1">
      <c r="A93" s="9">
        <f t="shared" si="10"/>
        <v>77</v>
      </c>
      <c r="B93" s="9"/>
      <c r="E93" s="9"/>
      <c r="F93" s="9"/>
      <c r="G93" s="9"/>
      <c r="H93" s="9"/>
      <c r="I93" s="9"/>
      <c r="J93" s="9"/>
      <c r="K93" s="59"/>
      <c r="L93" s="9"/>
      <c r="M93" s="9"/>
    </row>
    <row r="94" ht="14.25" customHeight="1">
      <c r="A94" s="9">
        <f t="shared" si="10"/>
        <v>78</v>
      </c>
      <c r="B94" s="9"/>
      <c r="E94" s="9"/>
      <c r="F94" s="9"/>
      <c r="G94" s="9"/>
      <c r="H94" s="9"/>
      <c r="I94" s="9"/>
      <c r="J94" s="9"/>
      <c r="K94" s="59"/>
      <c r="L94" s="9"/>
      <c r="M94" s="9"/>
    </row>
    <row r="95" ht="14.25" customHeight="1">
      <c r="A95" s="9">
        <f t="shared" si="10"/>
        <v>79</v>
      </c>
      <c r="B95" s="9"/>
      <c r="E95" s="9"/>
      <c r="F95" s="9"/>
      <c r="G95" s="9"/>
      <c r="H95" s="9"/>
      <c r="I95" s="9"/>
      <c r="J95" s="9"/>
      <c r="K95" s="59"/>
      <c r="L95" s="9"/>
      <c r="M95" s="9"/>
    </row>
    <row r="96" ht="14.25" customHeight="1">
      <c r="A96" s="9">
        <f t="shared" si="10"/>
        <v>80</v>
      </c>
      <c r="B96" s="9"/>
      <c r="E96" s="9"/>
      <c r="F96" s="9"/>
      <c r="G96" s="9"/>
      <c r="H96" s="9"/>
      <c r="I96" s="9"/>
      <c r="J96" s="9"/>
      <c r="K96" s="58"/>
      <c r="L96" s="9"/>
      <c r="M96" s="9"/>
    </row>
    <row r="97" ht="14.25" customHeight="1">
      <c r="A97" s="9">
        <f t="shared" si="10"/>
        <v>81</v>
      </c>
      <c r="B97" s="9"/>
      <c r="E97" s="9"/>
      <c r="F97" s="9"/>
      <c r="G97" s="9"/>
      <c r="H97" s="9"/>
      <c r="I97" s="9"/>
      <c r="J97" s="9"/>
      <c r="K97" s="58"/>
      <c r="L97" s="9"/>
      <c r="M97" s="9"/>
    </row>
    <row r="98" ht="14.25" customHeight="1">
      <c r="A98" s="9">
        <f t="shared" si="10"/>
        <v>82</v>
      </c>
      <c r="B98" s="9"/>
      <c r="E98" s="9"/>
      <c r="F98" s="9"/>
      <c r="G98" s="9"/>
      <c r="H98" s="9"/>
      <c r="I98" s="9"/>
      <c r="J98" s="9"/>
      <c r="K98" s="59"/>
      <c r="L98" s="9"/>
      <c r="M98" s="9"/>
    </row>
    <row r="99" ht="14.25" customHeight="1">
      <c r="A99" s="9" t="s">
        <v>598</v>
      </c>
      <c r="B99" s="9"/>
      <c r="E99" s="9"/>
      <c r="F99" s="9"/>
      <c r="G99" s="9"/>
      <c r="H99" s="9"/>
      <c r="I99" s="9"/>
      <c r="J99" s="9"/>
      <c r="K99" s="59"/>
      <c r="L99" s="9"/>
      <c r="M99" s="9"/>
    </row>
    <row r="100" ht="14.25" customHeight="1">
      <c r="A100" s="9">
        <f t="shared" ref="A100:A161" si="11">IF(L100="CAdeau",0,MAX($A$2:A99)+1)</f>
        <v>83</v>
      </c>
      <c r="B100" s="9"/>
      <c r="E100" s="9"/>
      <c r="F100" s="9"/>
      <c r="G100" s="9"/>
      <c r="H100" s="9"/>
      <c r="I100" s="9"/>
      <c r="J100" s="9"/>
      <c r="K100" s="58"/>
      <c r="L100" s="9"/>
      <c r="M100" s="9"/>
    </row>
    <row r="101" ht="14.25" customHeight="1">
      <c r="A101" s="9">
        <f t="shared" si="11"/>
        <v>84</v>
      </c>
      <c r="B101" s="9"/>
      <c r="E101" s="9"/>
      <c r="F101" s="9"/>
      <c r="G101" s="9"/>
      <c r="H101" s="9"/>
      <c r="I101" s="9"/>
      <c r="J101" s="9"/>
      <c r="K101" s="58"/>
      <c r="L101" s="9"/>
      <c r="M101" s="9"/>
    </row>
    <row r="102" ht="14.25" customHeight="1">
      <c r="A102" s="9">
        <f t="shared" si="11"/>
        <v>85</v>
      </c>
      <c r="B102" s="9"/>
      <c r="E102" s="9"/>
      <c r="F102" s="9"/>
      <c r="G102" s="9"/>
      <c r="H102" s="9"/>
      <c r="I102" s="9"/>
      <c r="J102" s="9"/>
      <c r="K102" s="58"/>
      <c r="L102" s="9"/>
      <c r="M102" s="9"/>
    </row>
    <row r="103" ht="14.25" customHeight="1">
      <c r="A103" s="9">
        <f t="shared" si="11"/>
        <v>86</v>
      </c>
      <c r="B103" s="9"/>
      <c r="E103" s="9"/>
      <c r="F103" s="9"/>
      <c r="G103" s="9"/>
      <c r="H103" s="9"/>
      <c r="I103" s="9"/>
      <c r="J103" s="9"/>
      <c r="K103" s="58"/>
      <c r="L103" s="9"/>
      <c r="M103" s="9"/>
    </row>
    <row r="104" ht="14.25" customHeight="1">
      <c r="A104" s="9">
        <f t="shared" si="11"/>
        <v>87</v>
      </c>
      <c r="B104" s="9"/>
      <c r="E104" s="9"/>
      <c r="F104" s="9"/>
      <c r="G104" s="9"/>
      <c r="H104" s="9"/>
      <c r="I104" s="9"/>
      <c r="J104" s="9"/>
      <c r="K104" s="59"/>
      <c r="L104" s="9"/>
      <c r="M104" s="9"/>
    </row>
    <row r="105" ht="14.25" customHeight="1">
      <c r="A105" s="9">
        <f t="shared" si="11"/>
        <v>88</v>
      </c>
      <c r="B105" s="9"/>
      <c r="E105" s="9"/>
      <c r="F105" s="9"/>
      <c r="G105" s="9"/>
      <c r="H105" s="9"/>
      <c r="I105" s="9"/>
      <c r="J105" s="9"/>
      <c r="K105" s="59"/>
      <c r="L105" s="9"/>
      <c r="M105" s="9"/>
    </row>
    <row r="106" ht="14.25" customHeight="1">
      <c r="A106" s="9">
        <f t="shared" si="11"/>
        <v>89</v>
      </c>
      <c r="B106" s="9"/>
      <c r="E106" s="9"/>
      <c r="F106" s="9"/>
      <c r="G106" s="9"/>
      <c r="H106" s="9"/>
      <c r="I106" s="9"/>
      <c r="J106" s="9"/>
      <c r="K106" s="59"/>
      <c r="L106" s="9"/>
      <c r="M106" s="9"/>
    </row>
    <row r="107" ht="14.25" customHeight="1">
      <c r="A107" s="9">
        <f t="shared" si="11"/>
        <v>90</v>
      </c>
      <c r="B107" s="9"/>
      <c r="E107" s="9"/>
      <c r="F107" s="9"/>
      <c r="G107" s="9"/>
      <c r="H107" s="9"/>
      <c r="I107" s="9"/>
      <c r="J107" s="9"/>
      <c r="K107" s="59"/>
      <c r="L107" s="9"/>
      <c r="M107" s="9"/>
    </row>
    <row r="108" ht="14.25" customHeight="1">
      <c r="A108" s="9">
        <f t="shared" si="11"/>
        <v>91</v>
      </c>
      <c r="B108" s="9"/>
      <c r="E108" s="9"/>
      <c r="F108" s="9"/>
      <c r="G108" s="9"/>
      <c r="H108" s="9"/>
      <c r="I108" s="9"/>
      <c r="J108" s="9"/>
      <c r="K108" s="59"/>
      <c r="L108" s="9"/>
      <c r="M108" s="9"/>
    </row>
    <row r="109" ht="14.25" customHeight="1">
      <c r="A109" s="9">
        <f t="shared" si="11"/>
        <v>92</v>
      </c>
      <c r="B109" s="9"/>
      <c r="E109" s="9"/>
      <c r="F109" s="9"/>
      <c r="G109" s="9"/>
      <c r="H109" s="9"/>
      <c r="I109" s="9"/>
      <c r="J109" s="9"/>
      <c r="K109" s="59"/>
      <c r="L109" s="9"/>
      <c r="M109" s="9"/>
    </row>
    <row r="110" ht="14.25" customHeight="1">
      <c r="A110" s="9">
        <f t="shared" si="11"/>
        <v>93</v>
      </c>
      <c r="B110" s="9"/>
      <c r="E110" s="9"/>
      <c r="F110" s="9"/>
      <c r="G110" s="9"/>
      <c r="H110" s="9"/>
      <c r="I110" s="9"/>
      <c r="J110" s="9"/>
      <c r="K110" s="59"/>
      <c r="L110" s="9"/>
      <c r="M110" s="9"/>
    </row>
    <row r="111" ht="14.25" customHeight="1">
      <c r="A111" s="9">
        <f t="shared" si="11"/>
        <v>94</v>
      </c>
      <c r="B111" s="9"/>
      <c r="E111" s="9"/>
      <c r="F111" s="9"/>
      <c r="G111" s="9"/>
      <c r="H111" s="9"/>
      <c r="I111" s="9"/>
      <c r="J111" s="9"/>
      <c r="K111" s="59"/>
      <c r="L111" s="9"/>
      <c r="M111" s="9"/>
    </row>
    <row r="112" ht="14.25" customHeight="1">
      <c r="A112" s="9">
        <f t="shared" si="11"/>
        <v>95</v>
      </c>
      <c r="B112" s="9"/>
      <c r="E112" s="9"/>
      <c r="F112" s="9"/>
      <c r="G112" s="9"/>
      <c r="H112" s="9"/>
      <c r="I112" s="9"/>
      <c r="J112" s="9"/>
      <c r="K112" s="59"/>
      <c r="L112" s="9"/>
      <c r="M112" s="9"/>
    </row>
    <row r="113" ht="14.25" customHeight="1">
      <c r="A113" s="9">
        <f t="shared" si="11"/>
        <v>96</v>
      </c>
      <c r="B113" s="9"/>
      <c r="E113" s="9"/>
      <c r="F113" s="9"/>
      <c r="G113" s="9"/>
      <c r="H113" s="9"/>
      <c r="I113" s="9"/>
      <c r="J113" s="9"/>
      <c r="K113" s="59"/>
      <c r="L113" s="9"/>
      <c r="M113" s="9"/>
    </row>
    <row r="114" ht="14.25" customHeight="1">
      <c r="A114" s="9">
        <f t="shared" si="11"/>
        <v>97</v>
      </c>
      <c r="B114" s="9"/>
      <c r="E114" s="9"/>
      <c r="F114" s="9"/>
      <c r="G114" s="9"/>
      <c r="H114" s="9"/>
      <c r="I114" s="9"/>
      <c r="J114" s="9"/>
      <c r="K114" s="59"/>
      <c r="L114" s="9"/>
      <c r="M114" s="9"/>
    </row>
    <row r="115" ht="14.25" customHeight="1">
      <c r="A115" s="9">
        <f t="shared" si="11"/>
        <v>98</v>
      </c>
      <c r="B115" s="9"/>
      <c r="E115" s="9"/>
      <c r="F115" s="9"/>
      <c r="G115" s="9"/>
      <c r="H115" s="9"/>
      <c r="I115" s="9"/>
      <c r="J115" s="9"/>
      <c r="K115" s="59"/>
      <c r="L115" s="9"/>
      <c r="M115" s="9"/>
    </row>
    <row r="116" ht="14.25" customHeight="1">
      <c r="A116" s="9">
        <f t="shared" si="11"/>
        <v>99</v>
      </c>
      <c r="B116" s="9"/>
      <c r="E116" s="9"/>
      <c r="F116" s="9"/>
      <c r="G116" s="9"/>
      <c r="H116" s="9"/>
      <c r="I116" s="9"/>
      <c r="J116" s="9"/>
      <c r="K116" s="59"/>
      <c r="L116" s="9"/>
      <c r="M116" s="9"/>
    </row>
    <row r="117" ht="14.25" customHeight="1">
      <c r="A117" s="9">
        <f t="shared" si="11"/>
        <v>100</v>
      </c>
      <c r="B117" s="9"/>
      <c r="E117" s="9"/>
      <c r="F117" s="9"/>
      <c r="G117" s="9"/>
      <c r="H117" s="9"/>
      <c r="I117" s="9"/>
      <c r="J117" s="9"/>
      <c r="K117" s="59"/>
      <c r="L117" s="9"/>
      <c r="M117" s="9"/>
    </row>
    <row r="118" ht="14.25" customHeight="1">
      <c r="A118" s="9">
        <f t="shared" si="11"/>
        <v>101</v>
      </c>
      <c r="B118" s="9"/>
      <c r="E118" s="9"/>
      <c r="F118" s="9"/>
      <c r="G118" s="9"/>
      <c r="H118" s="9"/>
      <c r="I118" s="9"/>
      <c r="J118" s="9"/>
      <c r="K118" s="59"/>
      <c r="L118" s="9"/>
      <c r="M118" s="9"/>
    </row>
    <row r="119" ht="14.25" customHeight="1">
      <c r="A119" s="9">
        <f t="shared" si="11"/>
        <v>102</v>
      </c>
      <c r="B119" s="9"/>
      <c r="H119" s="9"/>
      <c r="I119" s="9"/>
      <c r="K119" s="59"/>
      <c r="L119" s="9"/>
      <c r="M119" s="9"/>
    </row>
    <row r="120" ht="14.25" customHeight="1">
      <c r="A120" s="9">
        <f t="shared" si="11"/>
        <v>103</v>
      </c>
      <c r="B120" s="9"/>
      <c r="H120" s="9"/>
      <c r="I120" s="9"/>
      <c r="K120" s="59"/>
      <c r="L120" s="9"/>
      <c r="M120" s="9"/>
    </row>
    <row r="121" ht="14.25" customHeight="1">
      <c r="A121" s="9">
        <f t="shared" si="11"/>
        <v>104</v>
      </c>
      <c r="B121" s="9"/>
      <c r="H121" s="9"/>
      <c r="I121" s="9"/>
      <c r="K121" s="59"/>
      <c r="L121" s="9"/>
      <c r="M121" s="9"/>
    </row>
    <row r="122" ht="14.25" customHeight="1">
      <c r="A122" s="9">
        <f t="shared" si="11"/>
        <v>105</v>
      </c>
      <c r="B122" s="9"/>
      <c r="H122" s="9"/>
      <c r="I122" s="9"/>
      <c r="K122" s="59"/>
      <c r="M122" s="9"/>
    </row>
    <row r="123" ht="14.25" customHeight="1">
      <c r="A123" s="9">
        <f t="shared" si="11"/>
        <v>106</v>
      </c>
      <c r="B123" s="9"/>
      <c r="H123" s="9"/>
      <c r="I123" s="9"/>
      <c r="K123" s="59"/>
    </row>
    <row r="124" ht="14.25" customHeight="1">
      <c r="A124" s="9">
        <f t="shared" si="11"/>
        <v>107</v>
      </c>
      <c r="B124" s="9"/>
      <c r="H124" s="9"/>
      <c r="I124" s="9"/>
    </row>
    <row r="125" ht="14.25" customHeight="1">
      <c r="A125" s="9">
        <f t="shared" si="11"/>
        <v>108</v>
      </c>
      <c r="B125" s="9"/>
      <c r="H125" s="9"/>
      <c r="I125" s="9"/>
    </row>
    <row r="126" ht="14.25" customHeight="1">
      <c r="A126" s="9">
        <f t="shared" si="11"/>
        <v>109</v>
      </c>
      <c r="B126" s="9"/>
      <c r="H126" s="9"/>
      <c r="I126" s="9"/>
    </row>
    <row r="127" ht="14.25" customHeight="1">
      <c r="A127" s="9">
        <f t="shared" si="11"/>
        <v>110</v>
      </c>
      <c r="B127" s="9"/>
      <c r="H127" s="9"/>
      <c r="I127" s="9"/>
    </row>
    <row r="128" ht="14.25" customHeight="1">
      <c r="A128" s="9">
        <f t="shared" si="11"/>
        <v>111</v>
      </c>
      <c r="B128" s="9"/>
      <c r="H128" s="9"/>
      <c r="I128" s="9"/>
    </row>
    <row r="129" ht="14.25" customHeight="1">
      <c r="A129" s="9">
        <f t="shared" si="11"/>
        <v>112</v>
      </c>
      <c r="B129" s="9"/>
      <c r="H129" s="9"/>
      <c r="I129" s="9"/>
    </row>
    <row r="130" ht="14.25" customHeight="1">
      <c r="A130" s="9">
        <f t="shared" si="11"/>
        <v>113</v>
      </c>
      <c r="B130" s="9"/>
      <c r="H130" s="9"/>
      <c r="I130" s="9"/>
    </row>
    <row r="131" ht="14.25" customHeight="1">
      <c r="A131" s="9">
        <f t="shared" si="11"/>
        <v>114</v>
      </c>
      <c r="B131" s="9"/>
      <c r="H131" s="9"/>
      <c r="I131" s="9"/>
    </row>
    <row r="132" ht="14.25" customHeight="1">
      <c r="A132" s="9">
        <f t="shared" si="11"/>
        <v>115</v>
      </c>
      <c r="B132" s="9"/>
      <c r="H132" s="9"/>
      <c r="I132" s="9"/>
    </row>
    <row r="133" ht="14.25" customHeight="1">
      <c r="A133" s="9">
        <f t="shared" si="11"/>
        <v>116</v>
      </c>
      <c r="B133" s="9"/>
      <c r="H133" s="9"/>
      <c r="I133" s="9"/>
    </row>
    <row r="134" ht="14.25" customHeight="1">
      <c r="A134" s="9">
        <f t="shared" si="11"/>
        <v>117</v>
      </c>
      <c r="B134" s="9"/>
      <c r="H134" s="9"/>
      <c r="I134" s="9"/>
    </row>
    <row r="135" ht="14.25" customHeight="1">
      <c r="A135" s="9">
        <f t="shared" si="11"/>
        <v>118</v>
      </c>
      <c r="B135" s="9"/>
      <c r="H135" s="9"/>
      <c r="I135" s="9"/>
    </row>
    <row r="136" ht="14.25" customHeight="1">
      <c r="A136" s="9">
        <f t="shared" si="11"/>
        <v>119</v>
      </c>
      <c r="B136" s="9"/>
      <c r="H136" s="9"/>
      <c r="I136" s="9"/>
    </row>
    <row r="137" ht="14.25" customHeight="1">
      <c r="A137" s="9">
        <f t="shared" si="11"/>
        <v>120</v>
      </c>
      <c r="B137" s="9"/>
      <c r="H137" s="9"/>
      <c r="I137" s="9"/>
    </row>
    <row r="138" ht="14.25" customHeight="1">
      <c r="A138" s="9">
        <f t="shared" si="11"/>
        <v>121</v>
      </c>
      <c r="B138" s="9"/>
      <c r="H138" s="9"/>
      <c r="I138" s="9"/>
    </row>
    <row r="139" ht="14.25" customHeight="1">
      <c r="A139" s="9">
        <f t="shared" si="11"/>
        <v>122</v>
      </c>
      <c r="B139" s="9"/>
      <c r="H139" s="9"/>
      <c r="I139" s="9"/>
    </row>
    <row r="140" ht="14.25" customHeight="1">
      <c r="A140" s="9">
        <f t="shared" si="11"/>
        <v>123</v>
      </c>
      <c r="B140" s="9"/>
      <c r="H140" s="9"/>
      <c r="I140" s="9"/>
    </row>
    <row r="141" ht="14.25" customHeight="1">
      <c r="A141" s="9">
        <f t="shared" si="11"/>
        <v>124</v>
      </c>
      <c r="B141" s="9"/>
      <c r="H141" s="9"/>
      <c r="I141" s="9"/>
    </row>
    <row r="142" ht="14.25" customHeight="1">
      <c r="A142" s="9">
        <f t="shared" si="11"/>
        <v>125</v>
      </c>
      <c r="B142" s="9"/>
      <c r="H142" s="9"/>
      <c r="I142" s="9">
        <f t="shared" ref="I142:I150" si="12">IF(L142="Cadeau",0,C142*$S$2+D142*$S$3+E142*$S$4+F142*$S$5)</f>
        <v>0</v>
      </c>
    </row>
    <row r="143" ht="14.25" customHeight="1">
      <c r="A143" s="9">
        <f t="shared" si="11"/>
        <v>126</v>
      </c>
      <c r="B143" s="9"/>
      <c r="H143" s="9"/>
      <c r="I143" s="9">
        <f t="shared" si="12"/>
        <v>0</v>
      </c>
    </row>
    <row r="144" ht="14.25" customHeight="1">
      <c r="A144" s="9">
        <f t="shared" si="11"/>
        <v>127</v>
      </c>
      <c r="B144" s="9"/>
      <c r="H144" s="9"/>
      <c r="I144" s="9">
        <f t="shared" si="12"/>
        <v>0</v>
      </c>
    </row>
    <row r="145" ht="14.25" customHeight="1">
      <c r="A145" s="9">
        <f t="shared" si="11"/>
        <v>128</v>
      </c>
      <c r="B145" s="9"/>
      <c r="H145" s="9"/>
      <c r="I145" s="9">
        <f t="shared" si="12"/>
        <v>0</v>
      </c>
    </row>
    <row r="146" ht="14.25" customHeight="1">
      <c r="A146" s="9">
        <f t="shared" si="11"/>
        <v>129</v>
      </c>
      <c r="B146" s="9"/>
      <c r="H146" s="9"/>
      <c r="I146" s="9">
        <f t="shared" si="12"/>
        <v>0</v>
      </c>
    </row>
    <row r="147" ht="14.25" customHeight="1">
      <c r="A147" s="9">
        <f t="shared" si="11"/>
        <v>130</v>
      </c>
      <c r="B147" s="9"/>
      <c r="H147" s="9"/>
      <c r="I147" s="9">
        <f t="shared" si="12"/>
        <v>0</v>
      </c>
    </row>
    <row r="148" ht="14.25" customHeight="1">
      <c r="A148" s="9">
        <f t="shared" si="11"/>
        <v>131</v>
      </c>
      <c r="B148" s="9"/>
      <c r="H148" s="9"/>
      <c r="I148" s="9">
        <f t="shared" si="12"/>
        <v>0</v>
      </c>
    </row>
    <row r="149" ht="14.25" customHeight="1">
      <c r="A149" s="9">
        <f t="shared" si="11"/>
        <v>132</v>
      </c>
      <c r="B149" s="9"/>
      <c r="H149" s="9"/>
      <c r="I149" s="9">
        <f t="shared" si="12"/>
        <v>0</v>
      </c>
    </row>
    <row r="150" ht="14.25" customHeight="1">
      <c r="A150" s="9">
        <f t="shared" si="11"/>
        <v>133</v>
      </c>
      <c r="B150" s="9"/>
      <c r="H150" s="9"/>
      <c r="I150" s="9">
        <f t="shared" si="12"/>
        <v>0</v>
      </c>
    </row>
    <row r="151" ht="14.25" customHeight="1">
      <c r="A151" s="9">
        <f t="shared" si="11"/>
        <v>134</v>
      </c>
      <c r="B151" s="9"/>
    </row>
    <row r="152" ht="14.25" customHeight="1">
      <c r="A152" s="9">
        <f t="shared" si="11"/>
        <v>135</v>
      </c>
    </row>
    <row r="153" ht="14.25" customHeight="1">
      <c r="A153" s="9">
        <f t="shared" si="11"/>
        <v>136</v>
      </c>
    </row>
    <row r="154" ht="14.25" customHeight="1">
      <c r="A154" s="9">
        <f t="shared" si="11"/>
        <v>137</v>
      </c>
    </row>
    <row r="155" ht="14.25" customHeight="1">
      <c r="A155" s="9">
        <f t="shared" si="11"/>
        <v>138</v>
      </c>
    </row>
    <row r="156" ht="14.25" customHeight="1">
      <c r="A156" s="9">
        <f t="shared" si="11"/>
        <v>139</v>
      </c>
    </row>
    <row r="157" ht="14.25" customHeight="1">
      <c r="A157" s="9">
        <f t="shared" si="11"/>
        <v>140</v>
      </c>
    </row>
    <row r="158" ht="14.25" customHeight="1">
      <c r="A158" s="9">
        <f t="shared" si="11"/>
        <v>141</v>
      </c>
    </row>
    <row r="159" ht="14.25" customHeight="1">
      <c r="A159" s="9">
        <f t="shared" si="11"/>
        <v>142</v>
      </c>
    </row>
    <row r="160" ht="14.25" customHeight="1">
      <c r="A160" s="9">
        <f t="shared" si="11"/>
        <v>143</v>
      </c>
    </row>
    <row r="161" ht="14.25" customHeight="1">
      <c r="A161" s="9">
        <f t="shared" si="11"/>
        <v>144</v>
      </c>
    </row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AI$996"/>
  <dataValidations>
    <dataValidation type="list" allowBlank="1" showErrorMessage="1" sqref="B2:B12 B14:B30 B32:B44 B45:C45 B47:B151">
      <formula1>'Suivi Client'!$C$2:$C$200</formula1>
    </dataValidation>
    <dataValidation type="list" allowBlank="1" showErrorMessage="1" sqref="L2:L21 L110:L121">
      <formula1>'LISTE DEROULANTE'!$A$1:$A$4</formula1>
    </dataValidation>
    <dataValidation type="list" allowBlank="1" showErrorMessage="1" sqref="L22:L109">
      <formula1>'LISTE DEROULANTE'!$A$1:$A$5</formula1>
    </dataValidation>
    <dataValidation type="list" allowBlank="1" showErrorMessage="1" sqref="M2:M122">
      <formula1>'LISTE DEROULANTE'!$B$1:$B$3</formula1>
    </dataValidation>
  </dataValidations>
  <printOptions/>
  <pageMargins bottom="0.75" footer="0.0" header="0.0" left="0.7" right="0.7" top="0.75"/>
  <pageSetup paperSize="9" scale="4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5.29"/>
    <col customWidth="1" min="3" max="3" width="19.14"/>
    <col customWidth="1" min="7" max="7" width="13.29"/>
  </cols>
  <sheetData>
    <row r="1" ht="15.0" customHeight="1">
      <c r="A1" s="60"/>
      <c r="B1" s="60"/>
      <c r="C1" s="60"/>
      <c r="D1" s="60"/>
      <c r="E1" s="60"/>
      <c r="F1" s="61"/>
      <c r="G1" s="61"/>
      <c r="H1" s="61"/>
      <c r="I1" s="62"/>
      <c r="J1" s="62"/>
      <c r="K1" s="62"/>
      <c r="L1" s="60"/>
    </row>
    <row r="2" ht="15.0" customHeight="1">
      <c r="A2" s="60"/>
      <c r="B2" s="60"/>
      <c r="D2" s="60"/>
      <c r="J2" s="60"/>
      <c r="K2" s="60"/>
      <c r="L2" s="60"/>
    </row>
    <row r="3" ht="84.0" customHeight="1">
      <c r="A3" s="63"/>
      <c r="B3" s="63"/>
      <c r="C3" s="63"/>
      <c r="D3" s="63"/>
      <c r="E3" s="63"/>
      <c r="F3" s="63"/>
      <c r="G3" s="63"/>
      <c r="H3" s="63"/>
      <c r="I3" s="60"/>
      <c r="J3" s="60"/>
      <c r="K3" s="60"/>
      <c r="L3" s="60"/>
    </row>
    <row r="4" ht="30.75" customHeight="1">
      <c r="A4" s="63"/>
      <c r="B4" s="64"/>
      <c r="C4" s="63"/>
      <c r="D4" s="63"/>
      <c r="E4" s="65"/>
      <c r="F4" s="65"/>
      <c r="G4" s="65"/>
      <c r="H4" s="63"/>
      <c r="I4" s="60"/>
      <c r="J4" s="60"/>
      <c r="K4" s="60"/>
      <c r="L4" s="60"/>
    </row>
    <row r="5" ht="31.5" customHeight="1">
      <c r="A5" s="63"/>
      <c r="B5" s="65"/>
      <c r="C5" s="66"/>
      <c r="D5" s="65"/>
      <c r="E5" s="67" t="s">
        <v>531</v>
      </c>
      <c r="F5" s="68"/>
      <c r="G5" s="68"/>
      <c r="H5" s="68"/>
      <c r="I5" s="69"/>
      <c r="J5" s="60"/>
      <c r="K5" s="70"/>
      <c r="L5" s="60"/>
    </row>
    <row r="6" ht="15.0" customHeight="1">
      <c r="A6" s="65"/>
      <c r="B6" s="65"/>
      <c r="C6" s="65"/>
      <c r="D6" s="65"/>
      <c r="E6" s="65"/>
      <c r="F6" s="65"/>
      <c r="G6" s="65"/>
      <c r="H6" s="65"/>
      <c r="I6" s="70"/>
      <c r="J6" s="60"/>
      <c r="K6" s="70"/>
      <c r="L6" s="60"/>
    </row>
    <row r="7" ht="15.0" customHeight="1">
      <c r="A7" s="71"/>
      <c r="B7" s="69"/>
      <c r="C7" s="71"/>
      <c r="D7" s="69"/>
      <c r="E7" s="65"/>
      <c r="F7" s="65"/>
      <c r="G7" s="71"/>
      <c r="H7" s="69"/>
      <c r="I7" s="71"/>
      <c r="J7" s="68"/>
      <c r="K7" s="69"/>
      <c r="L7" s="63"/>
    </row>
    <row r="8" ht="21.0" customHeight="1">
      <c r="A8" s="71"/>
      <c r="B8" s="69"/>
      <c r="C8" s="71"/>
      <c r="D8" s="69"/>
      <c r="E8" s="65"/>
      <c r="F8" s="65"/>
      <c r="G8" s="73" t="s">
        <v>533</v>
      </c>
      <c r="H8" s="69"/>
      <c r="I8" s="77" t="str">
        <f>VLOOKUP(C16,'Suivi Facturation 2021'!$A$5:$J$10004,2,FALSE)</f>
        <v>Léo Carouge</v>
      </c>
      <c r="J8" s="68"/>
      <c r="K8" s="69"/>
      <c r="L8" s="63"/>
    </row>
    <row r="9" ht="24.75" customHeight="1">
      <c r="A9" s="71"/>
      <c r="B9" s="69"/>
      <c r="C9" s="71"/>
      <c r="D9" s="69"/>
      <c r="E9" s="65"/>
      <c r="F9" s="65"/>
      <c r="G9" s="73" t="s">
        <v>3</v>
      </c>
      <c r="H9" s="69"/>
      <c r="I9" s="77" t="str">
        <f>VLOOKUP(I8,'Suivi Client'!$C$3:$H$2000,3,FALSE) &amp;"  " &amp; VLOOKUP(I8,'Suivi Client'!$C$2:$H$2000,4,FALSE) &amp;"  " &amp; VLOOKUP(I8,'Suivi Client'!$C$2:$H$2000,5,FALSE)</f>
        <v>#N/A</v>
      </c>
      <c r="J9" s="68"/>
      <c r="K9" s="69"/>
      <c r="L9" s="63"/>
    </row>
    <row r="10" ht="15.0" customHeight="1">
      <c r="A10" s="71"/>
      <c r="B10" s="69"/>
      <c r="C10" s="71"/>
      <c r="D10" s="69"/>
      <c r="E10" s="65"/>
      <c r="F10" s="65"/>
      <c r="G10" s="77"/>
      <c r="H10" s="69"/>
      <c r="I10" s="77"/>
      <c r="J10" s="68"/>
      <c r="K10" s="69"/>
      <c r="L10" s="63"/>
    </row>
    <row r="11" ht="15.0" customHeight="1">
      <c r="A11" s="71"/>
      <c r="B11" s="69"/>
      <c r="C11" s="71"/>
      <c r="D11" s="69"/>
      <c r="E11" s="65"/>
      <c r="F11" s="65"/>
      <c r="G11" s="73"/>
      <c r="H11" s="69"/>
      <c r="I11" s="77"/>
      <c r="J11" s="68"/>
      <c r="K11" s="69"/>
      <c r="L11" s="63"/>
    </row>
    <row r="12">
      <c r="A12" s="71"/>
      <c r="B12" s="69"/>
      <c r="C12" s="65"/>
      <c r="D12" s="65"/>
      <c r="E12" s="65"/>
      <c r="F12" s="65"/>
      <c r="G12" s="73" t="s">
        <v>534</v>
      </c>
      <c r="H12" s="69"/>
      <c r="I12" s="173" t="str">
        <f>IF(VLOOKUP(I8,'Suivi Client'!$C$2:$H$2000,2,FALSE)=0,"",VLOOKUP(I8,'Suivi Client'!$C$2:$H$2000,2,FALSE))</f>
        <v>leocarouge@gmail.com</v>
      </c>
      <c r="J12" s="80"/>
      <c r="K12" s="80"/>
      <c r="L12" s="63"/>
    </row>
    <row r="13">
      <c r="A13" s="81"/>
      <c r="B13" s="69"/>
      <c r="C13" s="81"/>
      <c r="D13" s="69"/>
      <c r="E13" s="65"/>
      <c r="F13" s="65"/>
      <c r="G13" s="71"/>
      <c r="H13" s="69"/>
      <c r="I13" s="71"/>
      <c r="J13" s="68"/>
      <c r="K13" s="69"/>
      <c r="L13" s="63"/>
    </row>
    <row r="14">
      <c r="A14" s="81"/>
      <c r="B14" s="69"/>
      <c r="C14" s="81"/>
      <c r="D14" s="69"/>
      <c r="E14" s="65"/>
      <c r="F14" s="65"/>
      <c r="G14" s="71"/>
      <c r="H14" s="69"/>
      <c r="I14" s="65"/>
      <c r="J14" s="63"/>
      <c r="K14" s="65"/>
      <c r="L14" s="63"/>
    </row>
    <row r="15">
      <c r="A15" s="150"/>
      <c r="B15" s="83"/>
      <c r="C15" s="84"/>
      <c r="D15" s="85"/>
      <c r="E15" s="65"/>
      <c r="F15" s="65"/>
      <c r="G15" s="65"/>
      <c r="H15" s="86"/>
      <c r="I15" s="87"/>
      <c r="J15" s="60"/>
      <c r="K15" s="70"/>
      <c r="L15" s="60"/>
    </row>
    <row r="16">
      <c r="A16" s="88" t="s">
        <v>544</v>
      </c>
      <c r="B16" s="89"/>
      <c r="C16" s="174">
        <v>39.0</v>
      </c>
      <c r="D16" s="85"/>
      <c r="E16" s="70"/>
      <c r="F16" s="70"/>
      <c r="G16" s="70"/>
      <c r="H16" s="87"/>
      <c r="I16" s="87"/>
      <c r="J16" s="60"/>
      <c r="K16" s="70"/>
      <c r="L16" s="60"/>
    </row>
    <row r="17">
      <c r="A17" s="91" t="s">
        <v>442</v>
      </c>
      <c r="B17" s="92"/>
      <c r="C17" s="175">
        <f>VLOOKUP(C16,'Suivi Facturation 2021'!$A$5:$J$10004,10,FALSE)</f>
        <v>44329</v>
      </c>
      <c r="D17" s="85"/>
      <c r="E17" s="70"/>
      <c r="F17" s="70"/>
      <c r="G17" s="70"/>
      <c r="H17" s="87"/>
      <c r="I17" s="87"/>
      <c r="J17" s="60"/>
      <c r="K17" s="70"/>
      <c r="L17" s="60"/>
    </row>
    <row r="18">
      <c r="A18" s="94"/>
      <c r="B18" s="94"/>
      <c r="C18" s="136"/>
      <c r="D18" s="60"/>
      <c r="E18" s="70"/>
      <c r="F18" s="70"/>
      <c r="G18" s="70"/>
      <c r="H18" s="87"/>
      <c r="I18" s="87"/>
      <c r="J18" s="60"/>
      <c r="K18" s="70"/>
      <c r="L18" s="60"/>
    </row>
    <row r="19">
      <c r="A19" s="87"/>
      <c r="B19" s="87"/>
      <c r="C19" s="60"/>
      <c r="D19" s="96"/>
      <c r="E19" s="63"/>
      <c r="F19" s="70"/>
      <c r="G19" s="70"/>
      <c r="H19" s="87"/>
      <c r="I19" s="87"/>
      <c r="J19" s="60"/>
      <c r="K19" s="70"/>
      <c r="L19" s="60"/>
    </row>
    <row r="20">
      <c r="A20" s="70"/>
      <c r="B20" s="97"/>
      <c r="C20" s="97"/>
      <c r="D20" s="97"/>
      <c r="E20" s="97"/>
      <c r="F20" s="97"/>
      <c r="G20" s="97"/>
      <c r="H20" s="70"/>
      <c r="I20" s="70"/>
      <c r="J20" s="70"/>
      <c r="K20" s="97"/>
      <c r="L20" s="60"/>
    </row>
    <row r="21" ht="15.75" customHeight="1">
      <c r="A21" s="98" t="s">
        <v>535</v>
      </c>
      <c r="B21" s="99" t="s">
        <v>536</v>
      </c>
      <c r="C21" s="100"/>
      <c r="D21" s="100"/>
      <c r="E21" s="100"/>
      <c r="F21" s="100"/>
      <c r="G21" s="101"/>
      <c r="H21" s="102" t="s">
        <v>537</v>
      </c>
      <c r="I21" s="103" t="s">
        <v>449</v>
      </c>
      <c r="J21" s="101"/>
      <c r="K21" s="103" t="s">
        <v>538</v>
      </c>
      <c r="L21" s="101"/>
    </row>
    <row r="22" ht="15.75" customHeight="1">
      <c r="A22" s="104"/>
      <c r="B22" s="105"/>
      <c r="C22" s="106"/>
      <c r="D22" s="106"/>
      <c r="E22" s="106"/>
      <c r="F22" s="106"/>
      <c r="G22" s="107"/>
      <c r="H22" s="104"/>
      <c r="I22" s="105"/>
      <c r="J22" s="107"/>
      <c r="K22" s="105"/>
      <c r="L22" s="107"/>
    </row>
    <row r="23" ht="15.75" customHeight="1">
      <c r="A23" s="108" t="str">
        <f>IF(VLOOKUP($C$16,'Suivi Facturation 2021'!$A$4:$L$1098,3,FALSE)&gt;0,"0,75","")</f>
        <v>0,75</v>
      </c>
      <c r="B23" s="109" t="str">
        <f>IF(VLOOKUP($C$16,'Suivi Facturation 2021'!$A$4:$L$980,3,FALSE)&gt;0,"Bouteille CHAMPAGNE SELECTION","")</f>
        <v>Bouteille CHAMPAGNE SELECTION</v>
      </c>
      <c r="C23" s="110"/>
      <c r="D23" s="110"/>
      <c r="E23" s="110"/>
      <c r="F23" s="110"/>
      <c r="G23" s="111"/>
      <c r="H23" s="112">
        <f>IF(VLOOKUP($C$16,'Suivi Facturation 2021'!$A$4:$L$1098,3,FALSE)&gt;0,VLOOKUP($C$16,'Suivi Facturation 2021'!$A$4:$L$1098,3,FALSE),"")</f>
        <v>6</v>
      </c>
      <c r="I23" s="113">
        <f>IF(VLOOKUP($C$16,'Suivi Facturation 2021'!$A$4:$L$1098,3,FALSE)&gt;0,'Suivi Facturation 2021'!R4,"")</f>
        <v>16</v>
      </c>
      <c r="J23" s="114"/>
      <c r="K23" s="115">
        <f>IF(VLOOKUP($C$16,'Suivi Facturation 2021'!$A$4:$L$1098,3,FALSE)&gt;0,I23*H23,"")</f>
        <v>96</v>
      </c>
      <c r="L23" s="114"/>
    </row>
    <row r="24" ht="15.75" customHeight="1">
      <c r="A24" s="108" t="str">
        <f>IF(VLOOKUP($C$16,'Suivi Facturation 2021'!$A$4:$L$1098,4,FALSE)&gt;0,"0,75","")</f>
        <v>0,75</v>
      </c>
      <c r="B24" s="116" t="str">
        <f>IF(VLOOKUP($C$16,'Suivi Facturation 2021'!$A$4:$L$980,4,FALSE)&gt;0,"Bouteille CHAMPAGNE ROSE","")</f>
        <v>Bouteille CHAMPAGNE ROSE</v>
      </c>
      <c r="C24" s="68"/>
      <c r="D24" s="68"/>
      <c r="E24" s="68"/>
      <c r="F24" s="68"/>
      <c r="G24" s="114"/>
      <c r="H24" s="112">
        <f>IF(VLOOKUP($C$16,'Suivi Facturation 2021'!$A$4:$L$1098,4,FALSE)&gt;0,VLOOKUP($C$16,'Suivi Facturation 2021'!$A$4:$L$1098,4,FALSE),"")</f>
        <v>2</v>
      </c>
      <c r="I24" s="113">
        <f>IF(VLOOKUP($C$16,'Suivi Facturation 2021'!$A$4:$L$1098,4,FALSE)&gt;0,'Suivi Facturation 2021'!R5,"")</f>
        <v>18</v>
      </c>
      <c r="J24" s="114"/>
      <c r="K24" s="81">
        <f>IF(VLOOKUP($C$16,'Suivi Facturation 2021'!$A$4:$L$1098,4,FALSE)&gt;0,I24*H24,"")</f>
        <v>36</v>
      </c>
      <c r="L24" s="114"/>
    </row>
    <row r="25" ht="15.75" customHeight="1">
      <c r="A25" s="108" t="str">
        <f>IF(VLOOKUP($C$16,'Suivi Facturation 2021'!$A$4:$L$1098,5,FALSE)&gt;0,"0,75","")</f>
        <v>0,75</v>
      </c>
      <c r="B25" s="116" t="str">
        <f>IF(VLOOKUP($C$16,'Suivi Facturation 2021'!$A$4:$L$980,5,FALSE)&gt;0,"Bouteille CHAMPAGNE BLANC DE BLANC","")</f>
        <v>Bouteille CHAMPAGNE BLANC DE BLANC</v>
      </c>
      <c r="C25" s="68"/>
      <c r="D25" s="68"/>
      <c r="E25" s="68"/>
      <c r="F25" s="68"/>
      <c r="G25" s="114"/>
      <c r="H25" s="112">
        <f>IF(VLOOKUP($C$16,'Suivi Facturation 2021'!$A$4:$L$1998,5,FALSE)&gt;0,VLOOKUP($C$16,'Suivi Facturation 2021'!$A$4:$L$1998,5,FALSE),"")</f>
        <v>6</v>
      </c>
      <c r="I25" s="113">
        <f>IF(VLOOKUP($C$16,'Suivi Facturation 2021'!$A$4:$L$1098,5,FALSE)&gt;0,'Suivi Facturation 2021'!R6,"")</f>
        <v>17.5</v>
      </c>
      <c r="J25" s="114"/>
      <c r="K25" s="81">
        <f>IF(VLOOKUP($C$16,'Suivi Facturation 2021'!$A$4:$L$1098,5,FALSE)&gt;0,I25*H25,"")</f>
        <v>105</v>
      </c>
      <c r="L25" s="114"/>
    </row>
    <row r="26" ht="15.75" customHeight="1">
      <c r="A26" s="108" t="str">
        <f>IF(VLOOKUP($C$16,'Suivi Facturation 2021'!$A$4:$L$1098,6,FALSE)&gt;0,"0,75","")</f>
        <v/>
      </c>
      <c r="B26" s="116" t="str">
        <f>IF(VLOOKUP($C$16,'Suivi Facturation 2021'!$A$4:$L$1098,6,FALSE)&gt;0,"Bouteille CHAMPAGNE PRESTIGE","")</f>
        <v/>
      </c>
      <c r="C26" s="68"/>
      <c r="D26" s="68"/>
      <c r="E26" s="68"/>
      <c r="F26" s="68"/>
      <c r="G26" s="114"/>
      <c r="H26" s="112" t="str">
        <f>IF(VLOOKUP($C$16,'Suivi Facturation 2021'!$A$4:$L$1098,6,FALSE)&gt;0,VLOOKUP($C$16,'Suivi Facturation 2021'!$A$4:$L$1098,4,FALSE),"")</f>
        <v/>
      </c>
      <c r="I26" s="113" t="str">
        <f>IF(VLOOKUP($C$16,'Suivi Facturation 2021'!$A$4:$L$1098,6,FALSE)&gt;0,'Suivi Facturation 2021'!R7,"")</f>
        <v/>
      </c>
      <c r="J26" s="114"/>
      <c r="K26" s="81" t="str">
        <f>IF(VLOOKUP($C$16,'Suivi Facturation 2021'!$A$4:$L$1098,6,FALSE)&gt;0,I26*H26,"")</f>
        <v/>
      </c>
      <c r="L26" s="114"/>
    </row>
    <row r="27" ht="15.75" customHeight="1">
      <c r="A27" s="108"/>
      <c r="B27" s="116" t="str">
        <f>IF(VLOOKUP($C$16,'Suivi Facturation 2021'!$A$4:$O$1980,14,FALSE)&gt;0,"PRIX LIVRAISON","")</f>
        <v>PRIX LIVRAISON</v>
      </c>
      <c r="C27" s="68"/>
      <c r="D27" s="68"/>
      <c r="E27" s="68"/>
      <c r="F27" s="68"/>
      <c r="G27" s="114"/>
      <c r="H27" s="112"/>
      <c r="I27" s="113" t="str">
        <f>IF(VLOOKUP($C$16,'Suivi Facturation 2021'!$A$4:$L$1098,6,FALSE)&gt;0,'Suivi Facturation 2021'!R8,"")</f>
        <v/>
      </c>
      <c r="J27" s="114"/>
      <c r="K27" s="81" t="str">
        <f>IF(VLOOKUP($C$16,'Suivi Facturation 2021'!$A$4:$O$1980,14,FALSE)&gt;0,VLOOKUP($C$16,'Suivi Facturation 2021'!$A$4:$O$1980,14,FALSE),"")</f>
        <v>depot// plus 1 Conso</v>
      </c>
      <c r="L27" s="114"/>
    </row>
    <row r="28" ht="90.75" customHeight="1">
      <c r="A28" s="120"/>
      <c r="B28" s="121"/>
      <c r="C28" s="121"/>
      <c r="D28" s="121"/>
      <c r="E28" s="122"/>
      <c r="F28" s="122"/>
      <c r="G28" s="122"/>
      <c r="H28" s="123"/>
      <c r="I28" s="122"/>
      <c r="J28" s="112"/>
      <c r="K28" s="122"/>
      <c r="L28" s="112"/>
    </row>
    <row r="29" ht="49.5" customHeight="1">
      <c r="A29" s="124"/>
      <c r="B29" s="71"/>
      <c r="C29" s="68"/>
      <c r="D29" s="69"/>
      <c r="E29" s="126"/>
      <c r="F29" s="126"/>
      <c r="G29" s="126"/>
      <c r="H29" s="127"/>
      <c r="I29" s="71"/>
      <c r="J29" s="114"/>
      <c r="K29" s="71"/>
      <c r="L29" s="114"/>
    </row>
    <row r="30" ht="15.75" customHeight="1">
      <c r="A30" s="124"/>
      <c r="B30" s="71"/>
      <c r="C30" s="68"/>
      <c r="D30" s="69"/>
      <c r="E30" s="126"/>
      <c r="F30" s="126"/>
      <c r="G30" s="126"/>
      <c r="H30" s="127"/>
      <c r="I30" s="71"/>
      <c r="J30" s="114"/>
      <c r="K30" s="71"/>
      <c r="L30" s="114"/>
    </row>
    <row r="31" ht="15.75" customHeight="1">
      <c r="A31" s="124"/>
      <c r="B31" s="71"/>
      <c r="C31" s="68"/>
      <c r="D31" s="69"/>
      <c r="E31" s="126"/>
      <c r="F31" s="126"/>
      <c r="G31" s="126"/>
      <c r="H31" s="127"/>
      <c r="I31" s="71"/>
      <c r="J31" s="114"/>
      <c r="K31" s="71"/>
      <c r="L31" s="114"/>
    </row>
    <row r="32" ht="15.75" customHeight="1">
      <c r="A32" s="124"/>
      <c r="B32" s="71"/>
      <c r="C32" s="68"/>
      <c r="D32" s="69"/>
      <c r="E32" s="126"/>
      <c r="F32" s="126"/>
      <c r="G32" s="126"/>
      <c r="H32" s="127"/>
      <c r="I32" s="71"/>
      <c r="J32" s="114"/>
      <c r="K32" s="71"/>
      <c r="L32" s="114"/>
    </row>
    <row r="33" ht="15.75" customHeight="1">
      <c r="A33" s="124"/>
      <c r="B33" s="71"/>
      <c r="C33" s="68"/>
      <c r="D33" s="69"/>
      <c r="E33" s="126"/>
      <c r="F33" s="126"/>
      <c r="G33" s="126"/>
      <c r="H33" s="127"/>
      <c r="I33" s="71"/>
      <c r="J33" s="114"/>
      <c r="K33" s="71"/>
      <c r="L33" s="114"/>
    </row>
    <row r="34" ht="15.75" customHeight="1">
      <c r="A34" s="128"/>
      <c r="B34" s="129"/>
      <c r="C34" s="130"/>
      <c r="D34" s="92"/>
      <c r="E34" s="131"/>
      <c r="F34" s="131"/>
      <c r="G34" s="131"/>
      <c r="H34" s="132"/>
      <c r="I34" s="129"/>
      <c r="J34" s="133"/>
      <c r="K34" s="129"/>
      <c r="L34" s="133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</row>
    <row r="36" ht="15.75" customHeight="1">
      <c r="A36" s="70"/>
      <c r="B36" s="70"/>
      <c r="C36" s="70"/>
      <c r="D36" s="70"/>
      <c r="E36" s="70"/>
      <c r="F36" s="70"/>
      <c r="G36" s="70"/>
      <c r="H36" s="60"/>
      <c r="I36" s="60"/>
      <c r="J36" s="60"/>
      <c r="K36" s="134" t="s">
        <v>539</v>
      </c>
      <c r="L36" s="135">
        <f>SUM(K23:L27)-L37</f>
        <v>197.5</v>
      </c>
    </row>
    <row r="37" ht="15.75" customHeight="1">
      <c r="A37" s="70"/>
      <c r="B37" s="70"/>
      <c r="C37" s="70"/>
      <c r="D37" s="70"/>
      <c r="E37" s="70"/>
      <c r="F37" s="70"/>
      <c r="G37" s="70"/>
      <c r="H37" s="60"/>
      <c r="I37" s="60"/>
      <c r="J37" s="60"/>
      <c r="K37" s="134" t="s">
        <v>540</v>
      </c>
      <c r="L37" s="135">
        <f>IFERROR(SUM(K23:L28)-SUM(K23:L28)/1.2,"")</f>
        <v>39.5</v>
      </c>
    </row>
    <row r="38" ht="15.75" customHeight="1">
      <c r="A38" s="70"/>
      <c r="B38" s="70"/>
      <c r="C38" s="70"/>
      <c r="D38" s="70"/>
      <c r="E38" s="70"/>
      <c r="F38" s="70"/>
      <c r="G38" s="70"/>
      <c r="H38" s="60"/>
      <c r="I38" s="60"/>
      <c r="J38" s="60"/>
      <c r="K38" s="134"/>
      <c r="L38" s="136"/>
    </row>
    <row r="39" ht="15.75" customHeight="1">
      <c r="A39" s="70"/>
      <c r="B39" s="70"/>
      <c r="C39" s="70"/>
      <c r="D39" s="70"/>
      <c r="E39" s="70"/>
      <c r="F39" s="70"/>
      <c r="G39" s="70"/>
      <c r="H39" s="60"/>
      <c r="I39" s="60"/>
      <c r="J39" s="60"/>
      <c r="K39" s="134" t="s">
        <v>541</v>
      </c>
      <c r="L39" s="137">
        <f>SUM(K23:L26)</f>
        <v>237</v>
      </c>
    </row>
    <row r="40" ht="15.75" customHeight="1">
      <c r="A40" s="70"/>
      <c r="B40" s="70"/>
      <c r="C40" s="70"/>
      <c r="D40" s="70"/>
      <c r="E40" s="70"/>
      <c r="F40" s="70"/>
      <c r="G40" s="70"/>
      <c r="H40" s="60"/>
      <c r="I40" s="60"/>
      <c r="J40" s="60"/>
      <c r="K40" s="60"/>
      <c r="L40" s="60"/>
    </row>
    <row r="41" ht="15.75" customHeight="1">
      <c r="A41" s="139" t="s">
        <v>542</v>
      </c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1"/>
    </row>
    <row r="42" ht="15.75" customHeight="1">
      <c r="A42" s="142"/>
      <c r="L42" s="143"/>
    </row>
    <row r="43" ht="15.75" customHeight="1">
      <c r="A43" s="142"/>
      <c r="L43" s="143"/>
    </row>
    <row r="44" ht="15.75" customHeight="1">
      <c r="A44" s="142"/>
      <c r="L44" s="143"/>
    </row>
    <row r="45" ht="64.5" customHeight="1">
      <c r="A45" s="142"/>
      <c r="L45" s="143"/>
    </row>
    <row r="46" ht="15.75" hidden="1" customHeight="1">
      <c r="A46" s="144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6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</row>
    <row r="53" ht="15.75" customHeight="1">
      <c r="A53" s="147" t="s">
        <v>543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48"/>
    </row>
    <row r="54" ht="15.75" customHeight="1">
      <c r="A54" s="142"/>
      <c r="L54" s="143"/>
    </row>
    <row r="55" ht="57.0" customHeight="1">
      <c r="A55" s="144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6"/>
    </row>
    <row r="56" ht="37.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3">
    <mergeCell ref="A15:C15"/>
    <mergeCell ref="A16:B16"/>
    <mergeCell ref="A17:B17"/>
    <mergeCell ref="A21:A22"/>
    <mergeCell ref="H21:H22"/>
    <mergeCell ref="I21:J22"/>
    <mergeCell ref="K21:L22"/>
    <mergeCell ref="B21:G22"/>
    <mergeCell ref="B23:G23"/>
    <mergeCell ref="I23:J23"/>
    <mergeCell ref="K23:L23"/>
    <mergeCell ref="B24:G24"/>
    <mergeCell ref="K24:L24"/>
    <mergeCell ref="K25:L25"/>
    <mergeCell ref="K34:L34"/>
    <mergeCell ref="A41:L46"/>
    <mergeCell ref="A53:L55"/>
    <mergeCell ref="K26:L26"/>
    <mergeCell ref="K27:L27"/>
    <mergeCell ref="K29:L29"/>
    <mergeCell ref="K30:L30"/>
    <mergeCell ref="K31:L31"/>
    <mergeCell ref="K32:L32"/>
    <mergeCell ref="K33:L33"/>
    <mergeCell ref="B33:D33"/>
    <mergeCell ref="B34:D34"/>
    <mergeCell ref="B25:G25"/>
    <mergeCell ref="B26:G26"/>
    <mergeCell ref="B27:G27"/>
    <mergeCell ref="B29:D29"/>
    <mergeCell ref="B30:D30"/>
    <mergeCell ref="B31:D31"/>
    <mergeCell ref="B32:D32"/>
    <mergeCell ref="G8:H8"/>
    <mergeCell ref="I8:K8"/>
    <mergeCell ref="E5:I5"/>
    <mergeCell ref="A7:B7"/>
    <mergeCell ref="C7:D7"/>
    <mergeCell ref="G7:H7"/>
    <mergeCell ref="I7:K7"/>
    <mergeCell ref="A8:B8"/>
    <mergeCell ref="C8:D8"/>
    <mergeCell ref="A9:B9"/>
    <mergeCell ref="C9:D9"/>
    <mergeCell ref="G9:H9"/>
    <mergeCell ref="I9:K9"/>
    <mergeCell ref="C10:D10"/>
    <mergeCell ref="G10:H10"/>
    <mergeCell ref="I10:K10"/>
    <mergeCell ref="A10:B10"/>
    <mergeCell ref="A11:B11"/>
    <mergeCell ref="C11:D11"/>
    <mergeCell ref="G11:H11"/>
    <mergeCell ref="I11:K11"/>
    <mergeCell ref="A12:B12"/>
    <mergeCell ref="G12:H12"/>
    <mergeCell ref="A13:B13"/>
    <mergeCell ref="C13:D13"/>
    <mergeCell ref="G13:H13"/>
    <mergeCell ref="I13:K13"/>
    <mergeCell ref="A14:B14"/>
    <mergeCell ref="C14:D14"/>
    <mergeCell ref="G14:H14"/>
    <mergeCell ref="I32:J32"/>
    <mergeCell ref="I33:J33"/>
    <mergeCell ref="I34:J34"/>
    <mergeCell ref="I24:J24"/>
    <mergeCell ref="I25:J25"/>
    <mergeCell ref="I26:J26"/>
    <mergeCell ref="I27:J27"/>
    <mergeCell ref="I29:J29"/>
    <mergeCell ref="I30:J30"/>
    <mergeCell ref="I31:J31"/>
  </mergeCells>
  <printOptions/>
  <pageMargins bottom="0.75" footer="0.0" header="0.0" left="0.25" right="0.25" top="0.75"/>
  <pageSetup paperSize="14" scale="55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5.29"/>
    <col customWidth="1" min="3" max="3" width="19.14"/>
    <col customWidth="1" min="7" max="7" width="13.29"/>
  </cols>
  <sheetData>
    <row r="1" ht="15.0" customHeight="1">
      <c r="A1" s="60"/>
      <c r="B1" s="60"/>
      <c r="C1" s="60"/>
      <c r="D1" s="60"/>
      <c r="E1" s="60"/>
      <c r="F1" s="60"/>
      <c r="G1" s="60"/>
      <c r="H1" s="60"/>
      <c r="I1" s="60"/>
      <c r="J1" s="62"/>
      <c r="K1" s="62"/>
      <c r="L1" s="60"/>
    </row>
    <row r="2" ht="15.0" customHeight="1">
      <c r="A2" s="60"/>
      <c r="B2" s="60"/>
      <c r="D2" s="60"/>
      <c r="J2" s="60"/>
      <c r="K2" s="60"/>
      <c r="L2" s="60"/>
    </row>
    <row r="3" ht="84.0" customHeight="1">
      <c r="A3" s="63"/>
      <c r="B3" s="63"/>
      <c r="C3" s="63"/>
      <c r="D3" s="63"/>
      <c r="E3" s="63"/>
      <c r="F3" s="63"/>
      <c r="G3" s="63"/>
      <c r="H3" s="63"/>
      <c r="I3" s="60"/>
      <c r="J3" s="60"/>
      <c r="K3" s="60"/>
      <c r="L3" s="60"/>
    </row>
    <row r="4" ht="30.75" customHeight="1">
      <c r="A4" s="63"/>
      <c r="B4" s="64"/>
      <c r="C4" s="63"/>
      <c r="D4" s="63"/>
      <c r="E4" s="65"/>
      <c r="F4" s="65"/>
      <c r="G4" s="65"/>
      <c r="H4" s="63"/>
      <c r="I4" s="60"/>
      <c r="J4" s="60"/>
      <c r="K4" s="60"/>
      <c r="L4" s="60"/>
    </row>
    <row r="5" ht="31.5" customHeight="1">
      <c r="A5" s="63"/>
      <c r="B5" s="65"/>
      <c r="C5" s="66"/>
      <c r="D5" s="65"/>
      <c r="E5" s="67" t="s">
        <v>531</v>
      </c>
      <c r="F5" s="68"/>
      <c r="G5" s="68"/>
      <c r="H5" s="68"/>
      <c r="I5" s="69"/>
      <c r="J5" s="60"/>
      <c r="K5" s="70"/>
      <c r="L5" s="60"/>
    </row>
    <row r="6" ht="15.0" customHeight="1">
      <c r="A6" s="65"/>
      <c r="B6" s="65"/>
      <c r="C6" s="65"/>
      <c r="D6" s="65"/>
      <c r="E6" s="65"/>
      <c r="F6" s="65"/>
      <c r="G6" s="65"/>
      <c r="H6" s="65"/>
      <c r="I6" s="70"/>
      <c r="J6" s="60"/>
      <c r="K6" s="70"/>
      <c r="L6" s="60"/>
    </row>
    <row r="7" ht="15.0" customHeight="1">
      <c r="A7" s="71"/>
      <c r="B7" s="69"/>
      <c r="C7" s="71"/>
      <c r="D7" s="69"/>
      <c r="E7" s="65"/>
      <c r="F7" s="65"/>
      <c r="G7" s="71"/>
      <c r="H7" s="69"/>
      <c r="I7" s="71"/>
      <c r="J7" s="68"/>
      <c r="K7" s="69"/>
      <c r="L7" s="63"/>
    </row>
    <row r="8" ht="21.0" customHeight="1">
      <c r="A8" s="71"/>
      <c r="B8" s="69"/>
      <c r="C8" s="71"/>
      <c r="D8" s="69"/>
      <c r="E8" s="65"/>
      <c r="F8" s="65"/>
      <c r="G8" s="73" t="s">
        <v>533</v>
      </c>
      <c r="H8" s="69"/>
      <c r="I8" s="77" t="str">
        <f>VLOOKUP(C16,'Suivi Facturation 2022'!$A$5:$J$10004,2,FALSE)</f>
        <v>Philippe  Gintrand</v>
      </c>
      <c r="J8" s="68"/>
      <c r="K8" s="69"/>
      <c r="L8" s="63"/>
    </row>
    <row r="9" ht="24.75" customHeight="1">
      <c r="A9" s="71"/>
      <c r="B9" s="69"/>
      <c r="C9" s="71"/>
      <c r="D9" s="69"/>
      <c r="E9" s="65"/>
      <c r="F9" s="65"/>
      <c r="G9" s="73" t="s">
        <v>3</v>
      </c>
      <c r="H9" s="69"/>
      <c r="I9" s="77" t="str">
        <f>VLOOKUP(I8,'Suivi Client'!$C$3:$H$2000,3,FALSE) &amp;"  " &amp; VLOOKUP(I8,'Suivi Client'!$C$2:$H$2000,4,FALSE) &amp;"  " &amp; VLOOKUP(I8,'Suivi Client'!$C$2:$H$2000,5,FALSE)</f>
        <v>2 CHEMIN D OLLANET  26240  St vallier</v>
      </c>
      <c r="J9" s="68"/>
      <c r="K9" s="69"/>
      <c r="L9" s="63"/>
    </row>
    <row r="10" ht="15.0" customHeight="1">
      <c r="A10" s="71"/>
      <c r="B10" s="69"/>
      <c r="C10" s="71"/>
      <c r="D10" s="69"/>
      <c r="E10" s="65"/>
      <c r="F10" s="65"/>
      <c r="G10" s="77"/>
      <c r="H10" s="69"/>
      <c r="I10" s="77"/>
      <c r="J10" s="68"/>
      <c r="K10" s="69"/>
      <c r="L10" s="63"/>
    </row>
    <row r="11" ht="15.0" customHeight="1">
      <c r="A11" s="71"/>
      <c r="B11" s="69"/>
      <c r="C11" s="71"/>
      <c r="D11" s="69"/>
      <c r="E11" s="65"/>
      <c r="F11" s="65"/>
      <c r="G11" s="73"/>
      <c r="H11" s="69"/>
      <c r="I11" s="77"/>
      <c r="J11" s="68"/>
      <c r="K11" s="69"/>
      <c r="L11" s="63"/>
    </row>
    <row r="12">
      <c r="A12" s="71"/>
      <c r="B12" s="69"/>
      <c r="C12" s="65"/>
      <c r="D12" s="65"/>
      <c r="E12" s="65"/>
      <c r="F12" s="65"/>
      <c r="G12" s="73" t="s">
        <v>534</v>
      </c>
      <c r="H12" s="69"/>
      <c r="I12" s="79" t="str">
        <f>IF(VLOOKUP(I8,'Suivi Client'!$C$2:$H$2000,2,FALSE)=0,"",VLOOKUP(I8,'Suivi Client'!$C$2:$H$2000,2,FALSE))</f>
        <v/>
      </c>
      <c r="J12" s="80"/>
      <c r="K12" s="80"/>
      <c r="L12" s="63"/>
    </row>
    <row r="13">
      <c r="A13" s="81"/>
      <c r="B13" s="69"/>
      <c r="C13" s="81"/>
      <c r="D13" s="69"/>
      <c r="E13" s="65"/>
      <c r="F13" s="65"/>
      <c r="G13" s="71"/>
      <c r="H13" s="69"/>
      <c r="I13" s="71"/>
      <c r="J13" s="68"/>
      <c r="K13" s="69"/>
      <c r="L13" s="63"/>
    </row>
    <row r="14">
      <c r="A14" s="81"/>
      <c r="B14" s="69"/>
      <c r="C14" s="81"/>
      <c r="D14" s="69"/>
      <c r="E14" s="65"/>
      <c r="F14" s="65"/>
      <c r="G14" s="71"/>
      <c r="H14" s="69"/>
      <c r="I14" s="65"/>
      <c r="J14" s="63"/>
      <c r="K14" s="65"/>
      <c r="L14" s="63"/>
    </row>
    <row r="15">
      <c r="A15" s="150"/>
      <c r="B15" s="83"/>
      <c r="C15" s="84"/>
      <c r="D15" s="85"/>
      <c r="E15" s="65"/>
      <c r="F15" s="65"/>
      <c r="G15" s="65"/>
      <c r="H15" s="86"/>
      <c r="I15" s="87"/>
      <c r="J15" s="60"/>
      <c r="K15" s="70"/>
      <c r="L15" s="60"/>
    </row>
    <row r="16">
      <c r="A16" s="88" t="s">
        <v>544</v>
      </c>
      <c r="B16" s="89"/>
      <c r="C16" s="174">
        <v>32.0</v>
      </c>
      <c r="D16" s="85"/>
      <c r="E16" s="70"/>
      <c r="F16" s="70"/>
      <c r="G16" s="70"/>
      <c r="H16" s="87"/>
      <c r="I16" s="87"/>
      <c r="J16" s="60"/>
      <c r="K16" s="70"/>
      <c r="L16" s="60"/>
    </row>
    <row r="17">
      <c r="A17" s="91" t="s">
        <v>442</v>
      </c>
      <c r="B17" s="92"/>
      <c r="C17" s="175"/>
      <c r="D17" s="85"/>
      <c r="E17" s="70"/>
      <c r="F17" s="70"/>
      <c r="G17" s="70"/>
      <c r="H17" s="87"/>
      <c r="I17" s="87"/>
      <c r="J17" s="60"/>
      <c r="K17" s="70"/>
      <c r="L17" s="60"/>
    </row>
    <row r="18">
      <c r="A18" s="94"/>
      <c r="B18" s="94"/>
      <c r="C18" s="136"/>
      <c r="D18" s="60"/>
      <c r="E18" s="70"/>
      <c r="F18" s="70"/>
      <c r="G18" s="70"/>
      <c r="H18" s="87"/>
      <c r="I18" s="87"/>
      <c r="J18" s="60"/>
      <c r="K18" s="70"/>
      <c r="L18" s="60"/>
    </row>
    <row r="19">
      <c r="A19" s="87"/>
      <c r="B19" s="87"/>
      <c r="C19" s="60"/>
      <c r="D19" s="96"/>
      <c r="E19" s="63"/>
      <c r="F19" s="70"/>
      <c r="G19" s="70"/>
      <c r="H19" s="87"/>
      <c r="I19" s="87"/>
      <c r="J19" s="60"/>
      <c r="K19" s="70"/>
      <c r="L19" s="60"/>
    </row>
    <row r="20">
      <c r="A20" s="70"/>
      <c r="B20" s="97"/>
      <c r="C20" s="97"/>
      <c r="D20" s="97"/>
      <c r="E20" s="97"/>
      <c r="F20" s="97"/>
      <c r="G20" s="97"/>
      <c r="H20" s="70"/>
      <c r="I20" s="70"/>
      <c r="J20" s="70"/>
      <c r="K20" s="97"/>
      <c r="L20" s="60"/>
    </row>
    <row r="21" ht="15.75" customHeight="1">
      <c r="A21" s="98" t="s">
        <v>535</v>
      </c>
      <c r="B21" s="99" t="s">
        <v>536</v>
      </c>
      <c r="C21" s="100"/>
      <c r="D21" s="100"/>
      <c r="E21" s="100"/>
      <c r="F21" s="100"/>
      <c r="G21" s="101"/>
      <c r="H21" s="102" t="s">
        <v>537</v>
      </c>
      <c r="I21" s="103" t="s">
        <v>449</v>
      </c>
      <c r="J21" s="101"/>
      <c r="K21" s="103" t="s">
        <v>538</v>
      </c>
      <c r="L21" s="101"/>
    </row>
    <row r="22" ht="15.75" customHeight="1">
      <c r="A22" s="104"/>
      <c r="B22" s="105"/>
      <c r="C22" s="106"/>
      <c r="D22" s="106"/>
      <c r="E22" s="106"/>
      <c r="F22" s="106"/>
      <c r="G22" s="107"/>
      <c r="H22" s="104"/>
      <c r="I22" s="105"/>
      <c r="J22" s="107"/>
      <c r="K22" s="105"/>
      <c r="L22" s="107"/>
    </row>
    <row r="23" ht="15.75" customHeight="1">
      <c r="A23" s="108" t="str">
        <f>IF(VLOOKUP($C$16,'Suivi Facturation 2021'!$A$4:$L$1098,3,FALSE)&gt;0,"0,75","")</f>
        <v>0,75</v>
      </c>
      <c r="B23" s="109" t="str">
        <f>IF(VLOOKUP($C$16,'Suivi Facturation 2021'!$A$4:$L$980,3,FALSE)&gt;0,"Bouteille CHAMPAGNE SELECTION","")</f>
        <v>Bouteille CHAMPAGNE SELECTION</v>
      </c>
      <c r="C23" s="110"/>
      <c r="D23" s="110"/>
      <c r="E23" s="110"/>
      <c r="F23" s="110"/>
      <c r="G23" s="111"/>
      <c r="H23" s="112">
        <f>IF(VLOOKUP($C$16,'Suivi Facturation 2022'!$A$4:$L$1098,3,FALSE)&gt;0,VLOOKUP($C$16,'Suivi Facturation 2021'!$A$4:$L$1098,3,FALSE),"")</f>
        <v>4</v>
      </c>
      <c r="I23" s="113">
        <f>IF(VLOOKUP($C$16,'Suivi Facturation 2021'!$A$4:$L$1098,3,FALSE)&gt;0,'Suivi Facturation 2021'!R4,"")</f>
        <v>16</v>
      </c>
      <c r="J23" s="114"/>
      <c r="K23" s="115">
        <f>IF(VLOOKUP($C$16,'Suivi Facturation 2021'!$A$4:$L$1098,3,FALSE)&gt;0,I23*H23,"")</f>
        <v>64</v>
      </c>
      <c r="L23" s="114"/>
    </row>
    <row r="24" ht="15.75" customHeight="1">
      <c r="A24" s="108" t="str">
        <f>IF(VLOOKUP($C$16,'Suivi Facturation 2022'!$A$4:$L$1098,4,FALSE)&gt;0,"0,75","")</f>
        <v/>
      </c>
      <c r="B24" s="116" t="str">
        <f>IF(VLOOKUP($C$16,'Suivi Facturation 2022'!$A$4:$L$980,4,FALSE)&gt;0,"Bouteille CHAMPAGNE ROSE","")</f>
        <v/>
      </c>
      <c r="C24" s="68"/>
      <c r="D24" s="68"/>
      <c r="E24" s="68"/>
      <c r="F24" s="68"/>
      <c r="G24" s="114"/>
      <c r="H24" s="112" t="str">
        <f>IF(VLOOKUP($C$16,'Suivi Facturation 2022'!$A$4:$L$1098,4,FALSE)&gt;0,VLOOKUP($C$16,'Suivi Facturation 2021'!$A$4:$L$1098,4,FALSE),"")</f>
        <v/>
      </c>
      <c r="I24" s="113" t="str">
        <f>IF(VLOOKUP($C$16,'Suivi Facturation 2022'!$A$4:$L$1098,4,FALSE)&gt;0,'Suivi Facturation 2021'!R5,"")</f>
        <v/>
      </c>
      <c r="J24" s="114"/>
      <c r="K24" s="81" t="str">
        <f>IF(VLOOKUP($C$16,'Suivi Facturation 2022'!$A$4:$L$1098,4,FALSE)&gt;0,I24*H24,"")</f>
        <v/>
      </c>
      <c r="L24" s="114"/>
    </row>
    <row r="25" ht="15.75" customHeight="1">
      <c r="A25" s="108" t="str">
        <f>IF(VLOOKUP($C$16,'Suivi Facturation 2021'!$A$4:$L$1098,5,FALSE)&gt;0,"0,75","")</f>
        <v/>
      </c>
      <c r="B25" s="116" t="str">
        <f>IF(VLOOKUP($C$16,'Suivi Facturation 2021'!$A$4:$L$980,5,FALSE)&gt;0,"Bouteille CHAMPAGNE BLANC DE BLANC","")</f>
        <v/>
      </c>
      <c r="C25" s="68"/>
      <c r="D25" s="68"/>
      <c r="E25" s="68"/>
      <c r="F25" s="68"/>
      <c r="G25" s="114"/>
      <c r="H25" s="112" t="str">
        <f>IF(VLOOKUP($C$16,'Suivi Facturation 2021'!$A$4:$L$1998,5,FALSE)&gt;0,VLOOKUP($C$16,'Suivi Facturation 2021'!$A$4:$L$1998,5,FALSE),"")</f>
        <v/>
      </c>
      <c r="I25" s="113" t="str">
        <f>IF(VLOOKUP($C$16,'Suivi Facturation 2021'!$A$4:$L$1098,5,FALSE)&gt;0,'Suivi Facturation 2021'!R6,"")</f>
        <v/>
      </c>
      <c r="J25" s="114"/>
      <c r="K25" s="81" t="str">
        <f>IF(VLOOKUP($C$16,'Suivi Facturation 2021'!$A$4:$L$1098,5,FALSE)&gt;0,I25*H25,"")</f>
        <v/>
      </c>
      <c r="L25" s="114"/>
    </row>
    <row r="26" ht="15.75" customHeight="1">
      <c r="A26" s="108" t="str">
        <f>IF(VLOOKUP($C$16,'Suivi Facturation 2021'!$A$4:$L$1098,6,FALSE)&gt;0,"0,75","")</f>
        <v/>
      </c>
      <c r="B26" s="116" t="str">
        <f>IF(VLOOKUP($C$16,'Suivi Facturation 2021'!$A$4:$L$1098,6,FALSE)&gt;0,"Bouteille CHAMPAGNE PRESTIGE","")</f>
        <v/>
      </c>
      <c r="C26" s="68"/>
      <c r="D26" s="68"/>
      <c r="E26" s="68"/>
      <c r="F26" s="68"/>
      <c r="G26" s="114"/>
      <c r="H26" s="112" t="str">
        <f>IF(VLOOKUP($C$16,'Suivi Facturation 2021'!$A$4:$L$1098,6,FALSE)&gt;0,VLOOKUP($C$16,'Suivi Facturation 2021'!$A$4:$L$1098,4,FALSE),"")</f>
        <v/>
      </c>
      <c r="I26" s="113" t="str">
        <f>IF(VLOOKUP($C$16,'Suivi Facturation 2021'!$A$4:$L$1098,6,FALSE)&gt;0,'Suivi Facturation 2021'!R7,"")</f>
        <v/>
      </c>
      <c r="J26" s="114"/>
      <c r="K26" s="81" t="str">
        <f>IF(VLOOKUP($C$16,'Suivi Facturation 2021'!$A$4:$L$1098,6,FALSE)&gt;0,I26*H26,"")</f>
        <v/>
      </c>
      <c r="L26" s="114"/>
    </row>
    <row r="27" ht="15.75" customHeight="1">
      <c r="A27" s="108"/>
      <c r="B27" s="116" t="str">
        <f>IF(VLOOKUP($C$16,'Suivi Facturation 2022'!$A$4:$O$1980,14,FALSE)&gt;0,"PRIX LIVRAISON","")</f>
        <v>PRIX LIVRAISON</v>
      </c>
      <c r="C27" s="68"/>
      <c r="D27" s="68"/>
      <c r="E27" s="68"/>
      <c r="F27" s="68"/>
      <c r="G27" s="114"/>
      <c r="H27" s="112"/>
      <c r="I27" s="113" t="str">
        <f>IF(VLOOKUP($C$16,'Suivi Facturation 2021'!$A$4:$L$1098,6,FALSE)&gt;0,'Suivi Facturation 2021'!R8,"")</f>
        <v/>
      </c>
      <c r="J27" s="114"/>
      <c r="K27" s="81" t="str">
        <f>IF(VLOOKUP($C$16,'Suivi Facturation 2022'!$A$4:$O$1980,14,FALSE)&gt;0,VLOOKUP($C$16,'Suivi Facturation 2021'!$A$4:$O$1980,14,FALSE),"")</f>
        <v>DEPOT LEO</v>
      </c>
      <c r="L27" s="114"/>
    </row>
    <row r="28" ht="90.75" customHeight="1">
      <c r="A28" s="120"/>
      <c r="B28" s="121"/>
      <c r="C28" s="121"/>
      <c r="D28" s="121"/>
      <c r="E28" s="122"/>
      <c r="F28" s="122"/>
      <c r="G28" s="122"/>
      <c r="H28" s="123"/>
      <c r="I28" s="122"/>
      <c r="J28" s="112"/>
      <c r="K28" s="122"/>
      <c r="L28" s="112"/>
    </row>
    <row r="29" ht="49.5" customHeight="1">
      <c r="A29" s="124"/>
      <c r="B29" s="71"/>
      <c r="C29" s="68"/>
      <c r="D29" s="69"/>
      <c r="E29" s="126"/>
      <c r="F29" s="126"/>
      <c r="G29" s="126"/>
      <c r="H29" s="127"/>
      <c r="I29" s="71"/>
      <c r="J29" s="114"/>
      <c r="K29" s="71"/>
      <c r="L29" s="114"/>
    </row>
    <row r="30" ht="15.75" customHeight="1">
      <c r="A30" s="124"/>
      <c r="B30" s="71"/>
      <c r="C30" s="68"/>
      <c r="D30" s="69"/>
      <c r="E30" s="126"/>
      <c r="F30" s="126"/>
      <c r="G30" s="126"/>
      <c r="H30" s="127"/>
      <c r="I30" s="71"/>
      <c r="J30" s="114"/>
      <c r="K30" s="71"/>
      <c r="L30" s="114"/>
    </row>
    <row r="31" ht="15.75" customHeight="1">
      <c r="A31" s="124"/>
      <c r="B31" s="71"/>
      <c r="C31" s="68"/>
      <c r="D31" s="69"/>
      <c r="E31" s="126"/>
      <c r="F31" s="126"/>
      <c r="G31" s="126"/>
      <c r="H31" s="127"/>
      <c r="I31" s="71"/>
      <c r="J31" s="114"/>
      <c r="K31" s="71"/>
      <c r="L31" s="114"/>
    </row>
    <row r="32" ht="15.75" customHeight="1">
      <c r="A32" s="124"/>
      <c r="B32" s="71"/>
      <c r="C32" s="68"/>
      <c r="D32" s="69"/>
      <c r="E32" s="126"/>
      <c r="F32" s="126"/>
      <c r="G32" s="126"/>
      <c r="H32" s="127"/>
      <c r="I32" s="71"/>
      <c r="J32" s="114"/>
      <c r="K32" s="71"/>
      <c r="L32" s="114"/>
    </row>
    <row r="33" ht="15.75" customHeight="1">
      <c r="A33" s="124"/>
      <c r="B33" s="71"/>
      <c r="C33" s="68"/>
      <c r="D33" s="69"/>
      <c r="E33" s="126"/>
      <c r="F33" s="126"/>
      <c r="G33" s="126"/>
      <c r="H33" s="127"/>
      <c r="I33" s="71"/>
      <c r="J33" s="114"/>
      <c r="K33" s="71"/>
      <c r="L33" s="114"/>
    </row>
    <row r="34" ht="15.75" customHeight="1">
      <c r="A34" s="128"/>
      <c r="B34" s="129"/>
      <c r="C34" s="130"/>
      <c r="D34" s="92"/>
      <c r="E34" s="131"/>
      <c r="F34" s="131"/>
      <c r="G34" s="131"/>
      <c r="H34" s="132"/>
      <c r="I34" s="129"/>
      <c r="J34" s="133"/>
      <c r="K34" s="129"/>
      <c r="L34" s="133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</row>
    <row r="36" ht="15.75" customHeight="1">
      <c r="A36" s="70"/>
      <c r="B36" s="70"/>
      <c r="C36" s="70"/>
      <c r="D36" s="70"/>
      <c r="E36" s="70"/>
      <c r="F36" s="70"/>
      <c r="G36" s="70"/>
      <c r="H36" s="60"/>
      <c r="I36" s="60"/>
      <c r="J36" s="60"/>
      <c r="K36" s="134" t="s">
        <v>539</v>
      </c>
      <c r="L36" s="135">
        <f>SUM(K23:L27)-L37</f>
        <v>53.33333333</v>
      </c>
    </row>
    <row r="37" ht="15.75" customHeight="1">
      <c r="A37" s="70"/>
      <c r="B37" s="70"/>
      <c r="C37" s="70"/>
      <c r="D37" s="70"/>
      <c r="E37" s="70"/>
      <c r="F37" s="70"/>
      <c r="G37" s="70"/>
      <c r="H37" s="60"/>
      <c r="I37" s="60"/>
      <c r="J37" s="60"/>
      <c r="K37" s="134" t="s">
        <v>540</v>
      </c>
      <c r="L37" s="135">
        <f>IFERROR(SUM(K23:L28)-SUM(K23:L28)/1.2,"")</f>
        <v>10.66666667</v>
      </c>
    </row>
    <row r="38" ht="15.75" customHeight="1">
      <c r="A38" s="70"/>
      <c r="B38" s="70"/>
      <c r="C38" s="70"/>
      <c r="D38" s="70"/>
      <c r="E38" s="70"/>
      <c r="F38" s="70"/>
      <c r="G38" s="70"/>
      <c r="H38" s="60"/>
      <c r="I38" s="60"/>
      <c r="J38" s="60"/>
      <c r="K38" s="134"/>
      <c r="L38" s="136"/>
    </row>
    <row r="39" ht="15.75" customHeight="1">
      <c r="A39" s="70"/>
      <c r="B39" s="70"/>
      <c r="C39" s="70"/>
      <c r="D39" s="70"/>
      <c r="E39" s="70"/>
      <c r="F39" s="70"/>
      <c r="G39" s="70"/>
      <c r="H39" s="60"/>
      <c r="I39" s="60"/>
      <c r="J39" s="60"/>
      <c r="K39" s="134" t="s">
        <v>541</v>
      </c>
      <c r="L39" s="137">
        <f>SUM(K23:L26)</f>
        <v>64</v>
      </c>
    </row>
    <row r="40" ht="15.75" customHeight="1">
      <c r="A40" s="70"/>
      <c r="B40" s="70"/>
      <c r="C40" s="70"/>
      <c r="D40" s="70"/>
      <c r="E40" s="70"/>
      <c r="F40" s="70"/>
      <c r="G40" s="70"/>
      <c r="H40" s="60"/>
      <c r="I40" s="60"/>
      <c r="J40" s="60"/>
      <c r="K40" s="60"/>
      <c r="L40" s="60"/>
    </row>
    <row r="41" ht="15.75" customHeight="1">
      <c r="A41" s="139" t="s">
        <v>542</v>
      </c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1"/>
    </row>
    <row r="42" ht="15.75" customHeight="1">
      <c r="A42" s="142"/>
      <c r="L42" s="143"/>
    </row>
    <row r="43" ht="15.75" customHeight="1">
      <c r="A43" s="142"/>
      <c r="L43" s="143"/>
    </row>
    <row r="44" ht="15.75" customHeight="1">
      <c r="A44" s="142"/>
      <c r="L44" s="143"/>
    </row>
    <row r="45" ht="64.5" customHeight="1">
      <c r="A45" s="142"/>
      <c r="L45" s="143"/>
    </row>
    <row r="46" ht="15.75" hidden="1" customHeight="1">
      <c r="A46" s="144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6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</row>
    <row r="53" ht="15.75" customHeight="1">
      <c r="A53" s="147" t="s">
        <v>543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48"/>
    </row>
    <row r="54" ht="15.75" customHeight="1">
      <c r="A54" s="142"/>
      <c r="L54" s="143"/>
    </row>
    <row r="55" ht="57.0" customHeight="1">
      <c r="A55" s="144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6"/>
    </row>
    <row r="56" ht="37.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3">
    <mergeCell ref="A15:C15"/>
    <mergeCell ref="A16:B16"/>
    <mergeCell ref="A17:B17"/>
    <mergeCell ref="A21:A22"/>
    <mergeCell ref="H21:H22"/>
    <mergeCell ref="I21:J22"/>
    <mergeCell ref="K21:L22"/>
    <mergeCell ref="B21:G22"/>
    <mergeCell ref="B23:G23"/>
    <mergeCell ref="I23:J23"/>
    <mergeCell ref="K23:L23"/>
    <mergeCell ref="B24:G24"/>
    <mergeCell ref="K24:L24"/>
    <mergeCell ref="K25:L25"/>
    <mergeCell ref="K34:L34"/>
    <mergeCell ref="A41:L46"/>
    <mergeCell ref="A53:L55"/>
    <mergeCell ref="K26:L26"/>
    <mergeCell ref="K27:L27"/>
    <mergeCell ref="K29:L29"/>
    <mergeCell ref="K30:L30"/>
    <mergeCell ref="K31:L31"/>
    <mergeCell ref="K32:L32"/>
    <mergeCell ref="K33:L33"/>
    <mergeCell ref="B33:D33"/>
    <mergeCell ref="B34:D34"/>
    <mergeCell ref="B25:G25"/>
    <mergeCell ref="B26:G26"/>
    <mergeCell ref="B27:G27"/>
    <mergeCell ref="B29:D29"/>
    <mergeCell ref="B30:D30"/>
    <mergeCell ref="B31:D31"/>
    <mergeCell ref="B32:D32"/>
    <mergeCell ref="G8:H8"/>
    <mergeCell ref="I8:K8"/>
    <mergeCell ref="E5:I5"/>
    <mergeCell ref="A7:B7"/>
    <mergeCell ref="C7:D7"/>
    <mergeCell ref="G7:H7"/>
    <mergeCell ref="I7:K7"/>
    <mergeCell ref="A8:B8"/>
    <mergeCell ref="C8:D8"/>
    <mergeCell ref="A9:B9"/>
    <mergeCell ref="C9:D9"/>
    <mergeCell ref="G9:H9"/>
    <mergeCell ref="I9:K9"/>
    <mergeCell ref="C10:D10"/>
    <mergeCell ref="G10:H10"/>
    <mergeCell ref="I10:K10"/>
    <mergeCell ref="A10:B10"/>
    <mergeCell ref="A11:B11"/>
    <mergeCell ref="C11:D11"/>
    <mergeCell ref="G11:H11"/>
    <mergeCell ref="I11:K11"/>
    <mergeCell ref="A12:B12"/>
    <mergeCell ref="G12:H12"/>
    <mergeCell ref="A13:B13"/>
    <mergeCell ref="C13:D13"/>
    <mergeCell ref="G13:H13"/>
    <mergeCell ref="I13:K13"/>
    <mergeCell ref="A14:B14"/>
    <mergeCell ref="C14:D14"/>
    <mergeCell ref="G14:H14"/>
    <mergeCell ref="I32:J32"/>
    <mergeCell ref="I33:J33"/>
    <mergeCell ref="I34:J34"/>
    <mergeCell ref="I24:J24"/>
    <mergeCell ref="I25:J25"/>
    <mergeCell ref="I26:J26"/>
    <mergeCell ref="I27:J27"/>
    <mergeCell ref="I29:J29"/>
    <mergeCell ref="I30:J30"/>
    <mergeCell ref="I31:J31"/>
  </mergeCells>
  <printOptions/>
  <pageMargins bottom="0.75" footer="0.0" header="0.0" left="0.7" right="0.7" top="0.75"/>
  <pageSetup paperSize="14" scale="55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2" width="20.71"/>
    <col customWidth="1" min="3" max="3" width="13.43"/>
    <col customWidth="1" min="4" max="4" width="12.14"/>
    <col customWidth="1" min="5" max="5" width="53.57"/>
    <col customWidth="1" min="6" max="6" width="19.14"/>
    <col customWidth="1" min="7" max="7" width="21.43"/>
    <col customWidth="1" min="8" max="8" width="15.43"/>
    <col customWidth="1" min="9" max="9" width="10.71"/>
    <col customWidth="1" min="10" max="10" width="31.57"/>
    <col customWidth="1" min="11" max="11" width="28.43"/>
    <col customWidth="1" min="12" max="13" width="10.71"/>
  </cols>
  <sheetData>
    <row r="1" ht="25.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176"/>
      <c r="M1" s="9"/>
    </row>
    <row r="2" ht="25.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176"/>
      <c r="M2" s="9"/>
    </row>
    <row r="3" ht="25.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176"/>
      <c r="M3" s="9"/>
    </row>
    <row r="4" ht="25.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176"/>
      <c r="M4" s="9"/>
    </row>
    <row r="5" ht="25.5" customHeight="1">
      <c r="A5" s="36" t="s">
        <v>759</v>
      </c>
      <c r="B5" s="36" t="s">
        <v>434</v>
      </c>
      <c r="C5" s="36" t="s">
        <v>435</v>
      </c>
      <c r="D5" s="36" t="s">
        <v>436</v>
      </c>
      <c r="E5" s="36" t="s">
        <v>538</v>
      </c>
      <c r="F5" s="36" t="s">
        <v>442</v>
      </c>
      <c r="G5" s="36" t="s">
        <v>443</v>
      </c>
      <c r="H5" s="36" t="s">
        <v>444</v>
      </c>
      <c r="I5" s="36" t="s">
        <v>445</v>
      </c>
      <c r="J5" s="36" t="s">
        <v>446</v>
      </c>
      <c r="K5" s="176" t="s">
        <v>448</v>
      </c>
      <c r="M5" s="9">
        <v>339.0</v>
      </c>
    </row>
    <row r="6" ht="14.25" customHeight="1">
      <c r="A6" s="32">
        <v>1.0</v>
      </c>
      <c r="B6" s="32" t="s">
        <v>760</v>
      </c>
      <c r="C6" s="40">
        <v>6.0</v>
      </c>
      <c r="D6" s="40">
        <v>0.0</v>
      </c>
      <c r="E6" s="32">
        <f t="shared" ref="E6:E61" si="1">IF(G6="Cadeau",0,C6*$L$6+D6*$L$7)</f>
        <v>96</v>
      </c>
      <c r="F6" s="177">
        <v>44184.0</v>
      </c>
      <c r="G6" s="32" t="s">
        <v>761</v>
      </c>
      <c r="H6" s="32" t="s">
        <v>762</v>
      </c>
      <c r="I6" s="32" t="s">
        <v>594</v>
      </c>
      <c r="J6" s="32"/>
      <c r="K6" s="31" t="s">
        <v>451</v>
      </c>
      <c r="L6" s="9">
        <v>16.0</v>
      </c>
      <c r="M6" s="9">
        <f>SUM(C6:D50)</f>
        <v>363</v>
      </c>
    </row>
    <row r="7" ht="14.25" customHeight="1">
      <c r="A7" s="27">
        <v>2.0</v>
      </c>
      <c r="B7" s="27" t="s">
        <v>763</v>
      </c>
      <c r="C7" s="37">
        <v>6.0</v>
      </c>
      <c r="D7" s="37">
        <v>0.0</v>
      </c>
      <c r="E7" s="27">
        <f t="shared" si="1"/>
        <v>96</v>
      </c>
      <c r="F7" s="178">
        <v>44184.0</v>
      </c>
      <c r="G7" s="27" t="s">
        <v>460</v>
      </c>
      <c r="H7" s="27" t="s">
        <v>762</v>
      </c>
      <c r="I7" s="27" t="s">
        <v>764</v>
      </c>
      <c r="J7" s="178">
        <v>44185.0</v>
      </c>
      <c r="K7" s="31" t="s">
        <v>455</v>
      </c>
      <c r="L7" s="9">
        <v>18.0</v>
      </c>
    </row>
    <row r="8" ht="14.25" customHeight="1">
      <c r="A8" s="32">
        <v>3.0</v>
      </c>
      <c r="B8" s="32" t="s">
        <v>765</v>
      </c>
      <c r="C8" s="40">
        <v>4.0</v>
      </c>
      <c r="D8" s="40">
        <v>2.0</v>
      </c>
      <c r="E8" s="32">
        <f t="shared" si="1"/>
        <v>0</v>
      </c>
      <c r="F8" s="179">
        <v>44178.0</v>
      </c>
      <c r="G8" s="32" t="s">
        <v>202</v>
      </c>
      <c r="H8" s="32" t="s">
        <v>762</v>
      </c>
      <c r="I8" s="32" t="s">
        <v>766</v>
      </c>
      <c r="J8" s="179">
        <v>44179.0</v>
      </c>
      <c r="K8" s="31" t="s">
        <v>464</v>
      </c>
    </row>
    <row r="9" ht="14.25" customHeight="1">
      <c r="A9" s="27">
        <v>4.0</v>
      </c>
      <c r="B9" s="27" t="s">
        <v>767</v>
      </c>
      <c r="C9" s="37">
        <v>6.0</v>
      </c>
      <c r="D9" s="37">
        <v>0.0</v>
      </c>
      <c r="E9" s="27">
        <f t="shared" si="1"/>
        <v>96</v>
      </c>
      <c r="F9" s="178">
        <v>44184.0</v>
      </c>
      <c r="G9" s="27" t="s">
        <v>460</v>
      </c>
      <c r="H9" s="27" t="s">
        <v>762</v>
      </c>
      <c r="I9" s="27" t="s">
        <v>764</v>
      </c>
      <c r="J9" s="177">
        <v>44185.0</v>
      </c>
      <c r="K9" s="31"/>
    </row>
    <row r="10" ht="14.25" customHeight="1">
      <c r="A10" s="32">
        <v>5.0</v>
      </c>
      <c r="B10" s="32" t="s">
        <v>768</v>
      </c>
      <c r="C10" s="40">
        <v>6.0</v>
      </c>
      <c r="D10" s="40">
        <v>0.0</v>
      </c>
      <c r="E10" s="32">
        <f t="shared" si="1"/>
        <v>96</v>
      </c>
      <c r="F10" s="177">
        <v>44184.0</v>
      </c>
      <c r="G10" s="32" t="s">
        <v>761</v>
      </c>
      <c r="H10" s="32" t="s">
        <v>762</v>
      </c>
      <c r="I10" s="32" t="s">
        <v>594</v>
      </c>
      <c r="J10" s="177">
        <v>44185.0</v>
      </c>
      <c r="K10" s="31" t="s">
        <v>468</v>
      </c>
      <c r="L10" s="9">
        <f>SUM(E6:E50)</f>
        <v>5582</v>
      </c>
    </row>
    <row r="11" ht="14.25" customHeight="1">
      <c r="A11" s="27">
        <v>6.0</v>
      </c>
      <c r="B11" s="27" t="s">
        <v>521</v>
      </c>
      <c r="C11" s="37">
        <v>6.0</v>
      </c>
      <c r="D11" s="37">
        <v>0.0</v>
      </c>
      <c r="E11" s="27">
        <f t="shared" si="1"/>
        <v>96</v>
      </c>
      <c r="F11" s="180">
        <v>44184.0</v>
      </c>
      <c r="G11" s="27" t="s">
        <v>460</v>
      </c>
      <c r="H11" s="27" t="s">
        <v>762</v>
      </c>
      <c r="I11" s="27" t="s">
        <v>594</v>
      </c>
      <c r="J11" s="180">
        <v>44185.0</v>
      </c>
      <c r="K11" s="31"/>
    </row>
    <row r="12" ht="14.25" customHeight="1">
      <c r="A12" s="32">
        <v>7.0</v>
      </c>
      <c r="B12" s="32" t="s">
        <v>606</v>
      </c>
      <c r="C12" s="40">
        <v>2.0</v>
      </c>
      <c r="D12" s="40">
        <v>0.0</v>
      </c>
      <c r="E12" s="32">
        <f t="shared" si="1"/>
        <v>32</v>
      </c>
      <c r="F12" s="177">
        <v>44184.0</v>
      </c>
      <c r="G12" s="32" t="s">
        <v>761</v>
      </c>
      <c r="H12" s="32" t="s">
        <v>762</v>
      </c>
      <c r="I12" s="32" t="s">
        <v>594</v>
      </c>
      <c r="J12" s="177">
        <v>44185.0</v>
      </c>
      <c r="K12" s="31"/>
    </row>
    <row r="13" ht="14.25" customHeight="1">
      <c r="A13" s="27">
        <f>MIN(A10:A12)</f>
        <v>5</v>
      </c>
      <c r="B13" s="27" t="s">
        <v>769</v>
      </c>
      <c r="C13" s="37">
        <v>4.0</v>
      </c>
      <c r="D13" s="37">
        <v>4.0</v>
      </c>
      <c r="E13" s="27">
        <f t="shared" si="1"/>
        <v>136</v>
      </c>
      <c r="F13" s="180">
        <v>44184.0</v>
      </c>
      <c r="G13" s="27" t="s">
        <v>761</v>
      </c>
      <c r="H13" s="27" t="s">
        <v>762</v>
      </c>
      <c r="I13" s="27" t="s">
        <v>594</v>
      </c>
      <c r="J13" s="180">
        <v>44185.0</v>
      </c>
    </row>
    <row r="14" ht="14.25" customHeight="1">
      <c r="A14" s="32">
        <v>9.0</v>
      </c>
      <c r="B14" s="32" t="s">
        <v>593</v>
      </c>
      <c r="C14" s="40">
        <v>6.0</v>
      </c>
      <c r="D14" s="40">
        <v>0.0</v>
      </c>
      <c r="E14" s="32">
        <f t="shared" si="1"/>
        <v>96</v>
      </c>
      <c r="F14" s="177">
        <v>44184.0</v>
      </c>
      <c r="G14" s="32" t="s">
        <v>761</v>
      </c>
      <c r="H14" s="32" t="s">
        <v>762</v>
      </c>
      <c r="I14" s="32" t="s">
        <v>764</v>
      </c>
      <c r="J14" s="32"/>
    </row>
    <row r="15" ht="14.25" customHeight="1">
      <c r="A15" s="27">
        <v>10.0</v>
      </c>
      <c r="B15" s="27" t="s">
        <v>770</v>
      </c>
      <c r="C15" s="37">
        <v>10.0</v>
      </c>
      <c r="D15" s="37">
        <v>0.0</v>
      </c>
      <c r="E15" s="27">
        <f t="shared" si="1"/>
        <v>160</v>
      </c>
      <c r="F15" s="178">
        <v>44184.0</v>
      </c>
      <c r="G15" s="27" t="s">
        <v>460</v>
      </c>
      <c r="H15" s="27" t="s">
        <v>762</v>
      </c>
      <c r="I15" s="27" t="s">
        <v>640</v>
      </c>
      <c r="J15" s="27"/>
    </row>
    <row r="16" ht="14.25" customHeight="1">
      <c r="A16" s="32">
        <v>11.0</v>
      </c>
      <c r="B16" s="32" t="s">
        <v>771</v>
      </c>
      <c r="C16" s="40">
        <v>4.0</v>
      </c>
      <c r="D16" s="40">
        <v>0.0</v>
      </c>
      <c r="E16" s="32">
        <f t="shared" si="1"/>
        <v>64</v>
      </c>
      <c r="F16" s="177">
        <v>44184.0</v>
      </c>
      <c r="G16" s="32" t="s">
        <v>460</v>
      </c>
      <c r="H16" s="32" t="s">
        <v>762</v>
      </c>
      <c r="I16" s="32" t="s">
        <v>594</v>
      </c>
      <c r="J16" s="32"/>
    </row>
    <row r="17" ht="14.25" customHeight="1">
      <c r="A17" s="27">
        <v>12.0</v>
      </c>
      <c r="B17" s="27" t="s">
        <v>772</v>
      </c>
      <c r="C17" s="27">
        <v>12.0</v>
      </c>
      <c r="D17" s="27">
        <v>0.0</v>
      </c>
      <c r="E17" s="27">
        <f t="shared" si="1"/>
        <v>192</v>
      </c>
      <c r="F17" s="178">
        <v>44184.0</v>
      </c>
      <c r="G17" s="27" t="s">
        <v>460</v>
      </c>
      <c r="H17" s="27" t="s">
        <v>762</v>
      </c>
      <c r="I17" s="27" t="s">
        <v>773</v>
      </c>
      <c r="J17" s="27"/>
    </row>
    <row r="18" ht="14.25" customHeight="1">
      <c r="A18" s="32">
        <v>13.0</v>
      </c>
      <c r="B18" s="32" t="s">
        <v>774</v>
      </c>
      <c r="C18" s="32">
        <v>2.0</v>
      </c>
      <c r="D18" s="32">
        <v>0.0</v>
      </c>
      <c r="E18" s="32">
        <f t="shared" si="1"/>
        <v>32</v>
      </c>
      <c r="F18" s="177">
        <v>44184.0</v>
      </c>
      <c r="G18" s="32" t="s">
        <v>761</v>
      </c>
      <c r="H18" s="32" t="s">
        <v>762</v>
      </c>
      <c r="I18" s="32" t="s">
        <v>775</v>
      </c>
      <c r="J18" s="32"/>
    </row>
    <row r="19" ht="14.25" customHeight="1">
      <c r="A19" s="27">
        <v>14.0</v>
      </c>
      <c r="B19" s="27" t="s">
        <v>776</v>
      </c>
      <c r="C19" s="27">
        <v>6.0</v>
      </c>
      <c r="D19" s="27">
        <v>6.0</v>
      </c>
      <c r="E19" s="27">
        <f t="shared" si="1"/>
        <v>204</v>
      </c>
      <c r="F19" s="178">
        <v>44184.0</v>
      </c>
      <c r="G19" s="27" t="s">
        <v>761</v>
      </c>
      <c r="H19" s="27" t="s">
        <v>762</v>
      </c>
      <c r="I19" s="27" t="s">
        <v>594</v>
      </c>
      <c r="J19" s="27" t="s">
        <v>777</v>
      </c>
    </row>
    <row r="20" ht="14.25" customHeight="1">
      <c r="A20" s="32">
        <v>15.0</v>
      </c>
      <c r="B20" s="32" t="s">
        <v>778</v>
      </c>
      <c r="C20" s="32">
        <v>2.0</v>
      </c>
      <c r="D20" s="32">
        <v>0.0</v>
      </c>
      <c r="E20" s="32">
        <f t="shared" si="1"/>
        <v>32</v>
      </c>
      <c r="F20" s="177">
        <v>44184.0</v>
      </c>
      <c r="G20" s="32" t="s">
        <v>761</v>
      </c>
      <c r="H20" s="32" t="s">
        <v>762</v>
      </c>
      <c r="I20" s="32" t="s">
        <v>594</v>
      </c>
      <c r="J20" s="32"/>
    </row>
    <row r="21" ht="14.25" customHeight="1">
      <c r="A21" s="27">
        <v>16.0</v>
      </c>
      <c r="B21" s="27" t="s">
        <v>476</v>
      </c>
      <c r="C21" s="27">
        <v>6.0</v>
      </c>
      <c r="D21" s="27"/>
      <c r="E21" s="27">
        <f t="shared" si="1"/>
        <v>96</v>
      </c>
      <c r="F21" s="180">
        <v>44191.0</v>
      </c>
      <c r="G21" s="27" t="s">
        <v>460</v>
      </c>
      <c r="H21" s="27" t="s">
        <v>762</v>
      </c>
      <c r="I21" s="27" t="s">
        <v>555</v>
      </c>
      <c r="J21" s="27"/>
    </row>
    <row r="22" ht="14.25" customHeight="1">
      <c r="A22" s="32">
        <v>17.0</v>
      </c>
      <c r="B22" s="32" t="s">
        <v>512</v>
      </c>
      <c r="C22" s="32">
        <v>42.0</v>
      </c>
      <c r="D22" s="32">
        <v>0.0</v>
      </c>
      <c r="E22" s="32">
        <f t="shared" si="1"/>
        <v>672</v>
      </c>
      <c r="F22" s="181">
        <v>44187.0</v>
      </c>
      <c r="G22" s="32" t="s">
        <v>460</v>
      </c>
      <c r="H22" s="32" t="s">
        <v>762</v>
      </c>
      <c r="I22" s="32" t="s">
        <v>555</v>
      </c>
      <c r="J22" s="32"/>
    </row>
    <row r="23" ht="14.25" customHeight="1">
      <c r="A23" s="9">
        <v>18.0</v>
      </c>
      <c r="B23" s="9" t="s">
        <v>494</v>
      </c>
      <c r="C23" s="9">
        <v>6.0</v>
      </c>
      <c r="D23" s="9">
        <v>6.0</v>
      </c>
      <c r="E23" s="9">
        <f t="shared" si="1"/>
        <v>204</v>
      </c>
      <c r="F23" s="167">
        <v>44191.0</v>
      </c>
      <c r="G23" s="9" t="s">
        <v>460</v>
      </c>
      <c r="H23" s="9" t="s">
        <v>762</v>
      </c>
      <c r="I23" s="9" t="s">
        <v>555</v>
      </c>
    </row>
    <row r="24" ht="14.25" customHeight="1">
      <c r="A24" s="9">
        <v>19.0</v>
      </c>
      <c r="B24" s="9" t="s">
        <v>689</v>
      </c>
      <c r="C24" s="9">
        <v>4.0</v>
      </c>
      <c r="D24" s="9">
        <v>2.0</v>
      </c>
      <c r="E24" s="9">
        <f t="shared" si="1"/>
        <v>100</v>
      </c>
      <c r="F24" s="167">
        <v>44191.0</v>
      </c>
      <c r="G24" s="9" t="s">
        <v>460</v>
      </c>
      <c r="H24" s="9" t="s">
        <v>762</v>
      </c>
      <c r="I24" s="9" t="s">
        <v>555</v>
      </c>
    </row>
    <row r="25" ht="14.25" customHeight="1">
      <c r="A25" s="9">
        <v>20.0</v>
      </c>
      <c r="B25" s="9" t="s">
        <v>779</v>
      </c>
      <c r="C25" s="9">
        <v>6.0</v>
      </c>
      <c r="E25" s="9">
        <f t="shared" si="1"/>
        <v>96</v>
      </c>
      <c r="F25" s="167">
        <v>44191.0</v>
      </c>
      <c r="G25" s="9" t="s">
        <v>460</v>
      </c>
      <c r="H25" s="9" t="s">
        <v>762</v>
      </c>
      <c r="I25" s="9" t="s">
        <v>555</v>
      </c>
    </row>
    <row r="26" ht="14.25" customHeight="1">
      <c r="A26" s="9">
        <v>21.0</v>
      </c>
      <c r="B26" s="9" t="s">
        <v>780</v>
      </c>
      <c r="C26" s="9">
        <v>3.0</v>
      </c>
      <c r="D26" s="9">
        <v>3.0</v>
      </c>
      <c r="E26" s="9">
        <f t="shared" si="1"/>
        <v>102</v>
      </c>
      <c r="F26" s="167">
        <v>44191.0</v>
      </c>
      <c r="G26" s="9" t="s">
        <v>761</v>
      </c>
      <c r="H26" s="9" t="s">
        <v>762</v>
      </c>
      <c r="I26" s="9" t="s">
        <v>781</v>
      </c>
      <c r="J26" s="9" t="s">
        <v>782</v>
      </c>
    </row>
    <row r="27" ht="14.25" customHeight="1">
      <c r="A27" s="9">
        <v>22.0</v>
      </c>
      <c r="B27" s="9" t="s">
        <v>576</v>
      </c>
      <c r="C27" s="9">
        <v>6.0</v>
      </c>
      <c r="E27" s="9">
        <f t="shared" si="1"/>
        <v>96</v>
      </c>
      <c r="F27" s="167">
        <v>44191.0</v>
      </c>
      <c r="G27" s="9" t="s">
        <v>761</v>
      </c>
      <c r="H27" s="9" t="s">
        <v>762</v>
      </c>
      <c r="I27" s="9" t="s">
        <v>594</v>
      </c>
    </row>
    <row r="28" ht="14.25" customHeight="1">
      <c r="A28" s="9">
        <v>23.0</v>
      </c>
      <c r="B28" s="9" t="s">
        <v>783</v>
      </c>
      <c r="C28" s="9">
        <v>6.0</v>
      </c>
      <c r="D28" s="9">
        <v>6.0</v>
      </c>
      <c r="E28" s="9">
        <f t="shared" si="1"/>
        <v>204</v>
      </c>
      <c r="F28" s="59">
        <v>44193.0</v>
      </c>
      <c r="G28" s="9" t="s">
        <v>761</v>
      </c>
      <c r="H28" s="9" t="s">
        <v>762</v>
      </c>
      <c r="I28" s="9" t="s">
        <v>784</v>
      </c>
    </row>
    <row r="29" ht="14.25" customHeight="1">
      <c r="A29" s="9">
        <v>24.0</v>
      </c>
      <c r="B29" s="9" t="s">
        <v>785</v>
      </c>
      <c r="C29" s="9">
        <v>12.0</v>
      </c>
      <c r="D29" s="9"/>
      <c r="E29" s="9">
        <f t="shared" si="1"/>
        <v>192</v>
      </c>
      <c r="F29" s="167">
        <v>44191.0</v>
      </c>
      <c r="G29" s="9" t="s">
        <v>460</v>
      </c>
      <c r="H29" s="9" t="s">
        <v>762</v>
      </c>
      <c r="I29" s="9" t="s">
        <v>555</v>
      </c>
      <c r="J29" s="9"/>
    </row>
    <row r="30" ht="14.25" customHeight="1">
      <c r="A30" s="9">
        <v>25.0</v>
      </c>
      <c r="B30" s="9" t="s">
        <v>566</v>
      </c>
      <c r="C30" s="9">
        <v>3.0</v>
      </c>
      <c r="E30" s="9">
        <f t="shared" si="1"/>
        <v>48</v>
      </c>
      <c r="F30" s="167">
        <v>44187.0</v>
      </c>
      <c r="G30" s="9" t="s">
        <v>460</v>
      </c>
      <c r="H30" s="9" t="s">
        <v>762</v>
      </c>
      <c r="I30" s="9" t="s">
        <v>764</v>
      </c>
    </row>
    <row r="31" ht="14.25" customHeight="1">
      <c r="A31" s="9">
        <v>26.0</v>
      </c>
      <c r="B31" s="9" t="s">
        <v>463</v>
      </c>
      <c r="C31" s="9">
        <v>12.0</v>
      </c>
      <c r="D31" s="9">
        <v>3.0</v>
      </c>
      <c r="E31" s="9">
        <f t="shared" si="1"/>
        <v>246</v>
      </c>
      <c r="F31" s="59">
        <v>44193.0</v>
      </c>
      <c r="G31" s="9" t="s">
        <v>761</v>
      </c>
      <c r="H31" s="9" t="s">
        <v>762</v>
      </c>
      <c r="I31" s="9" t="s">
        <v>594</v>
      </c>
    </row>
    <row r="32" ht="14.25" customHeight="1">
      <c r="A32" s="9">
        <v>27.0</v>
      </c>
      <c r="B32" s="9" t="s">
        <v>476</v>
      </c>
      <c r="C32" s="9">
        <v>3.0</v>
      </c>
      <c r="D32" s="9">
        <v>1.0</v>
      </c>
      <c r="E32" s="9">
        <f t="shared" si="1"/>
        <v>0</v>
      </c>
      <c r="F32" s="59">
        <v>44193.0</v>
      </c>
      <c r="G32" s="9" t="s">
        <v>202</v>
      </c>
      <c r="H32" s="9" t="s">
        <v>762</v>
      </c>
      <c r="I32" s="9" t="s">
        <v>786</v>
      </c>
      <c r="J32" s="9" t="s">
        <v>787</v>
      </c>
    </row>
    <row r="33" ht="14.25" customHeight="1">
      <c r="A33" s="9">
        <v>28.0</v>
      </c>
      <c r="B33" s="9" t="s">
        <v>450</v>
      </c>
      <c r="C33" s="9">
        <v>3.0</v>
      </c>
      <c r="E33" s="9">
        <f t="shared" si="1"/>
        <v>0</v>
      </c>
      <c r="F33" s="59">
        <v>44193.0</v>
      </c>
      <c r="G33" s="9" t="s">
        <v>202</v>
      </c>
      <c r="H33" s="9" t="s">
        <v>762</v>
      </c>
      <c r="I33" s="9" t="s">
        <v>788</v>
      </c>
      <c r="J33" s="9" t="s">
        <v>789</v>
      </c>
    </row>
    <row r="34" ht="14.25" customHeight="1">
      <c r="A34" s="9">
        <v>29.0</v>
      </c>
      <c r="B34" s="9" t="s">
        <v>785</v>
      </c>
      <c r="C34" s="9">
        <v>18.0</v>
      </c>
      <c r="D34" s="9">
        <v>1.0</v>
      </c>
      <c r="E34" s="9">
        <f t="shared" si="1"/>
        <v>306</v>
      </c>
      <c r="F34" s="59">
        <v>44193.0</v>
      </c>
      <c r="G34" s="9"/>
      <c r="H34" s="9" t="s">
        <v>762</v>
      </c>
      <c r="I34" s="9" t="s">
        <v>790</v>
      </c>
      <c r="J34" s="9" t="s">
        <v>787</v>
      </c>
    </row>
    <row r="35" ht="14.25" customHeight="1">
      <c r="A35" s="9">
        <v>30.0</v>
      </c>
      <c r="B35" s="9" t="s">
        <v>791</v>
      </c>
      <c r="C35" s="9">
        <v>18.0</v>
      </c>
      <c r="D35" s="9">
        <v>6.0</v>
      </c>
      <c r="E35" s="9">
        <f t="shared" si="1"/>
        <v>396</v>
      </c>
      <c r="F35" s="59">
        <v>44193.0</v>
      </c>
      <c r="G35" s="9" t="s">
        <v>761</v>
      </c>
      <c r="H35" s="9" t="s">
        <v>762</v>
      </c>
      <c r="I35" s="9" t="s">
        <v>594</v>
      </c>
      <c r="J35" s="9" t="s">
        <v>792</v>
      </c>
    </row>
    <row r="36" ht="14.25" customHeight="1">
      <c r="A36" s="9">
        <v>31.0</v>
      </c>
      <c r="B36" s="9" t="s">
        <v>793</v>
      </c>
      <c r="C36" s="9">
        <v>6.0</v>
      </c>
      <c r="E36" s="9">
        <f t="shared" si="1"/>
        <v>96</v>
      </c>
      <c r="F36" s="59">
        <v>44193.0</v>
      </c>
      <c r="G36" s="9" t="s">
        <v>460</v>
      </c>
      <c r="H36" s="9" t="s">
        <v>762</v>
      </c>
      <c r="I36" s="9" t="s">
        <v>764</v>
      </c>
    </row>
    <row r="37" ht="14.25" customHeight="1">
      <c r="A37" s="9">
        <v>32.0</v>
      </c>
      <c r="B37" s="9" t="s">
        <v>566</v>
      </c>
      <c r="C37" s="9">
        <v>12.0</v>
      </c>
      <c r="D37" s="9">
        <v>6.0</v>
      </c>
      <c r="E37" s="9">
        <f t="shared" si="1"/>
        <v>300</v>
      </c>
      <c r="F37" s="59">
        <v>44193.0</v>
      </c>
      <c r="G37" s="9" t="s">
        <v>573</v>
      </c>
      <c r="H37" s="9" t="s">
        <v>762</v>
      </c>
      <c r="I37" s="9" t="s">
        <v>594</v>
      </c>
    </row>
    <row r="38" ht="14.25" customHeight="1">
      <c r="A38" s="9">
        <v>33.0</v>
      </c>
      <c r="B38" s="9" t="s">
        <v>486</v>
      </c>
      <c r="C38" s="9">
        <v>3.0</v>
      </c>
      <c r="D38" s="9">
        <v>4.0</v>
      </c>
      <c r="E38" s="9">
        <f t="shared" si="1"/>
        <v>0</v>
      </c>
      <c r="F38" s="59">
        <v>44193.0</v>
      </c>
      <c r="G38" s="9" t="s">
        <v>202</v>
      </c>
      <c r="H38" s="9" t="s">
        <v>762</v>
      </c>
      <c r="I38" s="9" t="s">
        <v>794</v>
      </c>
    </row>
    <row r="39" ht="14.25" customHeight="1">
      <c r="A39" s="9">
        <v>34.0</v>
      </c>
      <c r="B39" s="9" t="s">
        <v>650</v>
      </c>
      <c r="C39" s="9">
        <v>4.0</v>
      </c>
      <c r="D39" s="9">
        <v>4.0</v>
      </c>
      <c r="E39" s="9">
        <f t="shared" si="1"/>
        <v>136</v>
      </c>
      <c r="F39" s="59">
        <v>44193.0</v>
      </c>
      <c r="G39" s="9" t="s">
        <v>460</v>
      </c>
      <c r="H39" s="9" t="s">
        <v>762</v>
      </c>
      <c r="I39" s="9" t="s">
        <v>493</v>
      </c>
    </row>
    <row r="40" ht="14.25" customHeight="1">
      <c r="A40" s="9">
        <v>35.0</v>
      </c>
      <c r="B40" s="9" t="s">
        <v>795</v>
      </c>
      <c r="C40" s="9">
        <v>18.0</v>
      </c>
      <c r="E40" s="9">
        <f t="shared" si="1"/>
        <v>288</v>
      </c>
      <c r="F40" s="59">
        <v>44193.0</v>
      </c>
      <c r="G40" s="9" t="s">
        <v>460</v>
      </c>
      <c r="H40" s="9" t="s">
        <v>762</v>
      </c>
      <c r="I40" s="9" t="s">
        <v>594</v>
      </c>
    </row>
    <row r="41">
      <c r="A41" s="9">
        <v>36.0</v>
      </c>
      <c r="B41" s="9" t="s">
        <v>745</v>
      </c>
      <c r="C41" s="9">
        <v>12.0</v>
      </c>
      <c r="E41" s="9">
        <f t="shared" si="1"/>
        <v>192</v>
      </c>
      <c r="F41" s="59">
        <v>44193.0</v>
      </c>
      <c r="G41" s="9" t="s">
        <v>573</v>
      </c>
      <c r="H41" s="9" t="s">
        <v>796</v>
      </c>
      <c r="I41" s="9"/>
    </row>
    <row r="42">
      <c r="A42" s="9">
        <v>37.0</v>
      </c>
      <c r="B42" s="9" t="s">
        <v>450</v>
      </c>
      <c r="C42" s="9">
        <v>24.0</v>
      </c>
      <c r="E42" s="9">
        <f t="shared" si="1"/>
        <v>384</v>
      </c>
      <c r="F42" s="59">
        <v>44193.0</v>
      </c>
      <c r="G42" s="9" t="s">
        <v>573</v>
      </c>
      <c r="H42" s="9" t="s">
        <v>796</v>
      </c>
    </row>
    <row r="43">
      <c r="A43" s="9">
        <v>38.0</v>
      </c>
      <c r="B43" s="9"/>
      <c r="E43" s="9">
        <f t="shared" si="1"/>
        <v>0</v>
      </c>
      <c r="F43" s="59"/>
      <c r="G43" s="9"/>
      <c r="H43" s="9"/>
    </row>
    <row r="44">
      <c r="A44" s="9"/>
      <c r="B44" s="9"/>
      <c r="D44" s="9"/>
      <c r="E44" s="9">
        <f t="shared" si="1"/>
        <v>0</v>
      </c>
    </row>
    <row r="45">
      <c r="A45" s="9"/>
      <c r="B45" s="9"/>
      <c r="D45" s="9"/>
      <c r="E45" s="9">
        <f t="shared" si="1"/>
        <v>0</v>
      </c>
    </row>
    <row r="46">
      <c r="A46" s="9"/>
      <c r="B46" s="9"/>
      <c r="D46" s="9"/>
      <c r="E46" s="9">
        <f t="shared" si="1"/>
        <v>0</v>
      </c>
    </row>
    <row r="47" ht="14.25" customHeight="1">
      <c r="A47" s="9"/>
      <c r="B47" s="9"/>
      <c r="D47" s="9"/>
      <c r="E47" s="9">
        <f t="shared" si="1"/>
        <v>0</v>
      </c>
    </row>
    <row r="48" ht="14.25" customHeight="1">
      <c r="A48" s="9"/>
      <c r="B48" s="9"/>
      <c r="D48" s="9"/>
      <c r="E48" s="9">
        <f t="shared" si="1"/>
        <v>0</v>
      </c>
    </row>
    <row r="49" ht="14.25" customHeight="1">
      <c r="A49" s="9"/>
      <c r="B49" s="9"/>
      <c r="D49" s="9"/>
      <c r="E49" s="9">
        <f t="shared" si="1"/>
        <v>0</v>
      </c>
    </row>
    <row r="50" ht="14.25" customHeight="1">
      <c r="A50" s="9"/>
      <c r="B50" s="9"/>
      <c r="D50" s="9"/>
      <c r="E50" s="9">
        <f t="shared" si="1"/>
        <v>0</v>
      </c>
    </row>
    <row r="51" ht="14.25" customHeight="1">
      <c r="A51" s="9"/>
      <c r="B51" s="9"/>
      <c r="C51" s="9"/>
      <c r="D51" s="9"/>
      <c r="E51" s="9">
        <f t="shared" si="1"/>
        <v>0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4.25" customHeight="1">
      <c r="A52" s="9" t="s">
        <v>450</v>
      </c>
      <c r="B52" s="9"/>
      <c r="C52" s="9"/>
      <c r="D52" s="9"/>
      <c r="E52" s="9">
        <f t="shared" si="1"/>
        <v>0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4.25" customHeight="1">
      <c r="A53" s="9"/>
      <c r="B53" s="9"/>
      <c r="C53" s="9"/>
      <c r="D53" s="9"/>
      <c r="E53" s="9">
        <f t="shared" si="1"/>
        <v>0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4.25" customHeight="1">
      <c r="A54" s="9"/>
      <c r="B54" s="9"/>
      <c r="C54" s="9"/>
      <c r="D54" s="9"/>
      <c r="E54" s="9">
        <f t="shared" si="1"/>
        <v>0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4.25" customHeight="1">
      <c r="A55" s="9"/>
      <c r="B55" s="9"/>
      <c r="C55" s="9"/>
      <c r="D55" s="9"/>
      <c r="E55" s="9">
        <f t="shared" si="1"/>
        <v>0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4.25" customHeight="1">
      <c r="A56" s="9"/>
      <c r="B56" s="9"/>
      <c r="C56" s="9"/>
      <c r="D56" s="9"/>
      <c r="E56" s="9">
        <f t="shared" si="1"/>
        <v>0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4.25" customHeight="1">
      <c r="A57" s="9"/>
      <c r="B57" s="9"/>
      <c r="C57" s="9"/>
      <c r="D57" s="9"/>
      <c r="E57" s="9">
        <f t="shared" si="1"/>
        <v>0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4.25" customHeight="1">
      <c r="A58" s="9"/>
      <c r="B58" s="9"/>
      <c r="C58" s="9"/>
      <c r="D58" s="9"/>
      <c r="E58" s="9">
        <f t="shared" si="1"/>
        <v>0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4.25" customHeight="1">
      <c r="A59" s="9"/>
      <c r="B59" s="9"/>
      <c r="C59" s="9"/>
      <c r="D59" s="9"/>
      <c r="E59" s="9">
        <f t="shared" si="1"/>
        <v>0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4.25" customHeight="1">
      <c r="A60" s="9"/>
      <c r="B60" s="9"/>
      <c r="C60" s="9"/>
      <c r="D60" s="9"/>
      <c r="E60" s="9">
        <f t="shared" si="1"/>
        <v>0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4.25" customHeight="1">
      <c r="A61" s="9"/>
      <c r="B61" s="9"/>
      <c r="C61" s="9"/>
      <c r="D61" s="9"/>
      <c r="E61" s="9">
        <f t="shared" si="1"/>
        <v>0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4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4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4.25" customHeight="1">
      <c r="A64" s="9"/>
      <c r="B64" s="9"/>
      <c r="C64" s="9"/>
      <c r="D64" s="9"/>
      <c r="E64" s="9">
        <f t="shared" ref="E64:E70" si="2">IF(G64="Cadeau",0,C64*$L$6+D64*$L$7)</f>
        <v>0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4.25" customHeight="1">
      <c r="A65" s="9"/>
      <c r="B65" s="9"/>
      <c r="C65" s="9"/>
      <c r="D65" s="9"/>
      <c r="E65" s="9">
        <f t="shared" si="2"/>
        <v>0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4.25" customHeight="1">
      <c r="A66" s="9"/>
      <c r="B66" s="9"/>
      <c r="C66" s="9"/>
      <c r="D66" s="9"/>
      <c r="E66" s="9">
        <f t="shared" si="2"/>
        <v>0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4.25" customHeight="1">
      <c r="A67" s="9"/>
      <c r="B67" s="9"/>
      <c r="C67" s="9"/>
      <c r="D67" s="9"/>
      <c r="E67" s="9">
        <f t="shared" si="2"/>
        <v>0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4.25" customHeight="1">
      <c r="A68" s="9"/>
      <c r="B68" s="9"/>
      <c r="C68" s="9"/>
      <c r="D68" s="9"/>
      <c r="E68" s="9">
        <f t="shared" si="2"/>
        <v>0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4.25" customHeight="1">
      <c r="A69" s="9"/>
      <c r="B69" s="9"/>
      <c r="C69" s="9"/>
      <c r="D69" s="9"/>
      <c r="E69" s="9">
        <f t="shared" si="2"/>
        <v>0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4.25" customHeight="1">
      <c r="A70" s="9"/>
      <c r="B70" s="9"/>
      <c r="C70" s="9"/>
      <c r="D70" s="9"/>
      <c r="E70" s="9">
        <f t="shared" si="2"/>
        <v>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4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4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4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4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4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4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4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4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4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4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4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4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4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4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4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4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4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4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4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4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4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4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4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ht="15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ht="15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</sheetData>
  <autoFilter ref="$B$5:$AA$127"/>
  <conditionalFormatting sqref="A6:A1004">
    <cfRule type="notContainsBlanks" dxfId="3" priority="1">
      <formula>LEN(TRIM(A6))&gt;0</formula>
    </cfRule>
  </conditionalFormatting>
  <dataValidations>
    <dataValidation type="list" allowBlank="1" showErrorMessage="1" sqref="B6 B23:B45 A46:B87">
      <formula1>'Suivi Client'!$C$2:$C$200</formula1>
    </dataValidation>
    <dataValidation type="list" allowBlank="1" showErrorMessage="1" sqref="B8 B15:B22 A88:B103">
      <formula1>'Suivi Client'!$C$2:$C$20</formula1>
    </dataValidation>
  </dataValidations>
  <printOptions/>
  <pageMargins bottom="0.75" footer="0.0" header="0.0" left="0.7" right="0.7" top="0.75"/>
  <pageSetup scale="5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9.57"/>
    <col customWidth="1" min="3" max="3" width="13.43"/>
    <col customWidth="1" min="4" max="6" width="12.14"/>
    <col customWidth="1" min="7" max="7" width="19.86"/>
    <col customWidth="1" min="8" max="8" width="33.29"/>
    <col customWidth="1" min="9" max="9" width="12.14"/>
    <col customWidth="1" min="10" max="10" width="19.14"/>
    <col customWidth="1" min="11" max="11" width="21.43"/>
    <col customWidth="1" min="12" max="12" width="15.43"/>
    <col customWidth="1" min="13" max="14" width="31.57"/>
    <col customWidth="1" min="15" max="17" width="28.43"/>
    <col customWidth="1" min="18" max="18" width="10.71"/>
    <col customWidth="1" min="19" max="19" width="10.86"/>
    <col customWidth="1" min="20" max="20" width="10.71"/>
  </cols>
  <sheetData>
    <row r="1" ht="25.5" customHeight="1">
      <c r="S1" s="31" t="s">
        <v>545</v>
      </c>
      <c r="T1" s="9" t="s">
        <v>797</v>
      </c>
      <c r="U1" s="9" t="s">
        <v>798</v>
      </c>
      <c r="V1" s="9" t="s">
        <v>799</v>
      </c>
      <c r="W1" s="9" t="s">
        <v>800</v>
      </c>
      <c r="X1" s="9" t="s">
        <v>801</v>
      </c>
      <c r="Y1" s="9" t="s">
        <v>802</v>
      </c>
      <c r="Z1" s="9" t="s">
        <v>803</v>
      </c>
      <c r="AA1" s="9" t="s">
        <v>804</v>
      </c>
      <c r="AB1" s="9" t="s">
        <v>805</v>
      </c>
    </row>
    <row r="2" ht="14.25" customHeight="1">
      <c r="S2" s="166">
        <f t="shared" ref="S2:S3" si="1">R4/1.2</f>
        <v>13.33333333</v>
      </c>
      <c r="T2" s="9">
        <v>339.0</v>
      </c>
      <c r="U2" s="9">
        <v>59.0</v>
      </c>
      <c r="V2" s="9">
        <v>154.0</v>
      </c>
      <c r="W2" s="9">
        <v>33.0</v>
      </c>
      <c r="X2" s="9">
        <v>104.0</v>
      </c>
      <c r="Y2" s="9">
        <v>135.0</v>
      </c>
      <c r="Z2" s="9">
        <v>218.0</v>
      </c>
      <c r="AA2" s="9">
        <v>161.0</v>
      </c>
      <c r="AB2" s="9">
        <v>669.0</v>
      </c>
    </row>
    <row r="3" ht="14.25" customHeight="1">
      <c r="A3" s="36" t="s">
        <v>806</v>
      </c>
      <c r="B3" s="36" t="s">
        <v>434</v>
      </c>
      <c r="C3" s="36" t="s">
        <v>435</v>
      </c>
      <c r="D3" s="36" t="s">
        <v>436</v>
      </c>
      <c r="E3" s="36" t="s">
        <v>437</v>
      </c>
      <c r="F3" s="36" t="s">
        <v>438</v>
      </c>
      <c r="G3" s="36" t="s">
        <v>807</v>
      </c>
      <c r="H3" s="36" t="s">
        <v>440</v>
      </c>
      <c r="I3" s="36" t="s">
        <v>441</v>
      </c>
      <c r="J3" s="36" t="s">
        <v>442</v>
      </c>
      <c r="K3" s="36" t="s">
        <v>443</v>
      </c>
      <c r="L3" s="36" t="s">
        <v>444</v>
      </c>
      <c r="M3" s="36" t="s">
        <v>445</v>
      </c>
      <c r="N3" s="36" t="s">
        <v>446</v>
      </c>
      <c r="O3" s="36" t="s">
        <v>447</v>
      </c>
      <c r="P3" s="176"/>
      <c r="Q3" s="176" t="s">
        <v>448</v>
      </c>
      <c r="R3" s="31" t="s">
        <v>449</v>
      </c>
      <c r="S3" s="166">
        <f t="shared" si="1"/>
        <v>15</v>
      </c>
    </row>
    <row r="4" ht="14.25" customHeight="1">
      <c r="A4" s="32">
        <v>1.0</v>
      </c>
      <c r="B4" s="32" t="s">
        <v>486</v>
      </c>
      <c r="C4" s="40">
        <v>2.0</v>
      </c>
      <c r="D4" s="40">
        <v>1.0</v>
      </c>
      <c r="E4" s="32">
        <v>0.0</v>
      </c>
      <c r="F4" s="32">
        <v>0.0</v>
      </c>
      <c r="G4" s="32" t="s">
        <v>110</v>
      </c>
      <c r="H4" s="32">
        <f t="shared" ref="H4:H39" si="2">IF(K4="Cadeau",0,C4*$R$4+D4*$R$5+E4*$R$6+F4*$R$7)</f>
        <v>0</v>
      </c>
      <c r="I4" s="162">
        <f t="shared" ref="I4:I39" si="3">H4/1.2</f>
        <v>0</v>
      </c>
      <c r="J4" s="32" t="s">
        <v>808</v>
      </c>
      <c r="K4" s="32" t="s">
        <v>202</v>
      </c>
      <c r="L4" s="32" t="s">
        <v>762</v>
      </c>
      <c r="M4" s="32">
        <v>0.0</v>
      </c>
      <c r="N4" s="32" t="s">
        <v>809</v>
      </c>
      <c r="O4" s="34"/>
      <c r="P4" s="31"/>
      <c r="Q4" s="31" t="s">
        <v>451</v>
      </c>
      <c r="R4" s="9">
        <v>16.0</v>
      </c>
      <c r="T4" s="9">
        <v>288.0</v>
      </c>
      <c r="U4" s="9">
        <v>45.0</v>
      </c>
      <c r="V4" s="9">
        <v>103.0</v>
      </c>
      <c r="W4" s="9">
        <v>19.0</v>
      </c>
      <c r="X4" s="9">
        <v>92.0</v>
      </c>
      <c r="Y4" s="9">
        <v>75.0</v>
      </c>
      <c r="Z4" s="9">
        <v>138.0</v>
      </c>
      <c r="AA4" s="9">
        <v>66.0</v>
      </c>
      <c r="AB4" s="9">
        <v>605.0</v>
      </c>
    </row>
    <row r="5" ht="14.25" customHeight="1">
      <c r="A5" s="37">
        <v>2.0</v>
      </c>
      <c r="B5" s="182" t="s">
        <v>512</v>
      </c>
      <c r="C5" s="37">
        <v>38.0</v>
      </c>
      <c r="D5" s="37">
        <v>12.0</v>
      </c>
      <c r="E5" s="27"/>
      <c r="F5" s="27"/>
      <c r="G5" s="27" t="s">
        <v>810</v>
      </c>
      <c r="H5" s="27">
        <f t="shared" si="2"/>
        <v>824</v>
      </c>
      <c r="I5" s="28">
        <f t="shared" si="3"/>
        <v>686.6666667</v>
      </c>
      <c r="J5" s="161">
        <v>44223.0</v>
      </c>
      <c r="K5" s="27" t="s">
        <v>477</v>
      </c>
      <c r="L5" s="27" t="s">
        <v>762</v>
      </c>
      <c r="M5" s="27" t="s">
        <v>811</v>
      </c>
      <c r="N5" s="27" t="s">
        <v>812</v>
      </c>
      <c r="O5" s="36"/>
      <c r="P5" s="31"/>
      <c r="Q5" s="31" t="s">
        <v>455</v>
      </c>
      <c r="R5" s="9">
        <v>18.0</v>
      </c>
      <c r="T5" s="9">
        <v>48.0</v>
      </c>
      <c r="U5" s="9">
        <v>14.0</v>
      </c>
      <c r="V5" s="9">
        <v>51.0</v>
      </c>
      <c r="W5" s="9">
        <v>14.0</v>
      </c>
      <c r="X5" s="9">
        <v>12.0</v>
      </c>
      <c r="Y5" s="9">
        <v>50.0</v>
      </c>
      <c r="Z5" s="9">
        <v>72.0</v>
      </c>
      <c r="AA5" s="9">
        <v>27.0</v>
      </c>
      <c r="AB5" s="9">
        <v>25.0</v>
      </c>
    </row>
    <row r="6" ht="14.25" customHeight="1">
      <c r="A6" s="32">
        <f t="shared" ref="A6:A35" si="4">IF(K6="CAdeau",0,MAX($A$3:A5)+1)</f>
        <v>3</v>
      </c>
      <c r="B6" s="32" t="s">
        <v>813</v>
      </c>
      <c r="C6" s="40">
        <v>6.0</v>
      </c>
      <c r="D6" s="40"/>
      <c r="E6" s="32"/>
      <c r="F6" s="32"/>
      <c r="G6" s="32" t="s">
        <v>814</v>
      </c>
      <c r="H6" s="32">
        <f t="shared" si="2"/>
        <v>96</v>
      </c>
      <c r="I6" s="32">
        <f t="shared" si="3"/>
        <v>80</v>
      </c>
      <c r="J6" s="160">
        <v>44225.0</v>
      </c>
      <c r="K6" s="32" t="s">
        <v>460</v>
      </c>
      <c r="L6" s="32" t="s">
        <v>762</v>
      </c>
      <c r="M6" s="32" t="s">
        <v>640</v>
      </c>
      <c r="N6" s="32" t="s">
        <v>815</v>
      </c>
      <c r="O6" s="34"/>
      <c r="P6" s="31"/>
      <c r="Q6" s="31" t="s">
        <v>456</v>
      </c>
      <c r="R6" s="31">
        <v>17.5</v>
      </c>
      <c r="Y6" s="9">
        <v>27.0</v>
      </c>
      <c r="Z6" s="9">
        <v>7.0</v>
      </c>
      <c r="AA6" s="9">
        <v>68.0</v>
      </c>
      <c r="AB6" s="9">
        <v>38.0</v>
      </c>
    </row>
    <row r="7" ht="14.25" customHeight="1">
      <c r="A7" s="27">
        <f t="shared" si="4"/>
        <v>4</v>
      </c>
      <c r="B7" s="27" t="s">
        <v>494</v>
      </c>
      <c r="C7" s="37"/>
      <c r="D7" s="37">
        <v>12.0</v>
      </c>
      <c r="E7" s="27"/>
      <c r="F7" s="27"/>
      <c r="G7" s="27" t="s">
        <v>816</v>
      </c>
      <c r="H7" s="27">
        <f t="shared" si="2"/>
        <v>216</v>
      </c>
      <c r="I7" s="27">
        <f t="shared" si="3"/>
        <v>180</v>
      </c>
      <c r="J7" s="161">
        <v>44247.0</v>
      </c>
      <c r="K7" s="27" t="s">
        <v>460</v>
      </c>
      <c r="L7" s="27" t="s">
        <v>762</v>
      </c>
      <c r="M7" s="27" t="s">
        <v>594</v>
      </c>
      <c r="N7" s="27" t="s">
        <v>817</v>
      </c>
      <c r="O7" s="36"/>
      <c r="P7" s="31"/>
      <c r="Q7" s="31" t="s">
        <v>458</v>
      </c>
      <c r="R7" s="9">
        <v>30.0</v>
      </c>
    </row>
    <row r="8" ht="14.25" customHeight="1">
      <c r="A8" s="32">
        <f t="shared" si="4"/>
        <v>5</v>
      </c>
      <c r="B8" s="32" t="s">
        <v>779</v>
      </c>
      <c r="C8" s="40">
        <v>18.0</v>
      </c>
      <c r="D8" s="40">
        <v>2.0</v>
      </c>
      <c r="E8" s="32"/>
      <c r="F8" s="32"/>
      <c r="G8" s="32" t="s">
        <v>814</v>
      </c>
      <c r="H8" s="32">
        <f t="shared" si="2"/>
        <v>324</v>
      </c>
      <c r="I8" s="32">
        <f t="shared" si="3"/>
        <v>270</v>
      </c>
      <c r="J8" s="160">
        <v>44247.0</v>
      </c>
      <c r="K8" s="32" t="s">
        <v>460</v>
      </c>
      <c r="L8" s="32" t="s">
        <v>762</v>
      </c>
      <c r="M8" s="32" t="s">
        <v>594</v>
      </c>
      <c r="N8" s="32" t="s">
        <v>51</v>
      </c>
      <c r="O8" s="32"/>
    </row>
    <row r="9" ht="14.25" customHeight="1">
      <c r="A9" s="27">
        <f t="shared" si="4"/>
        <v>6</v>
      </c>
      <c r="B9" s="164" t="s">
        <v>450</v>
      </c>
      <c r="C9" s="37"/>
      <c r="D9" s="37">
        <v>12.0</v>
      </c>
      <c r="E9" s="27"/>
      <c r="F9" s="27"/>
      <c r="G9" s="27" t="s">
        <v>641</v>
      </c>
      <c r="H9" s="27">
        <f t="shared" si="2"/>
        <v>216</v>
      </c>
      <c r="I9" s="27">
        <f t="shared" si="3"/>
        <v>180</v>
      </c>
      <c r="J9" s="161">
        <v>44240.0</v>
      </c>
      <c r="K9" s="27" t="s">
        <v>477</v>
      </c>
      <c r="L9" s="27" t="s">
        <v>762</v>
      </c>
      <c r="M9" s="27"/>
      <c r="N9" s="27" t="s">
        <v>818</v>
      </c>
      <c r="O9" s="36"/>
      <c r="P9" s="31"/>
      <c r="Q9" s="31" t="s">
        <v>464</v>
      </c>
      <c r="R9" s="9">
        <f>SUM(C4:D1203)</f>
        <v>1934</v>
      </c>
    </row>
    <row r="10" ht="14.25" customHeight="1">
      <c r="A10" s="32">
        <f t="shared" si="4"/>
        <v>7</v>
      </c>
      <c r="B10" s="183" t="s">
        <v>481</v>
      </c>
      <c r="C10" s="40">
        <v>6.0</v>
      </c>
      <c r="D10" s="40"/>
      <c r="E10" s="32"/>
      <c r="F10" s="32"/>
      <c r="G10" s="32" t="s">
        <v>819</v>
      </c>
      <c r="H10" s="32">
        <f t="shared" si="2"/>
        <v>96</v>
      </c>
      <c r="I10" s="32">
        <f t="shared" si="3"/>
        <v>80</v>
      </c>
      <c r="J10" s="160">
        <v>44226.0</v>
      </c>
      <c r="K10" s="32" t="s">
        <v>460</v>
      </c>
      <c r="L10" s="32" t="s">
        <v>762</v>
      </c>
      <c r="M10" s="32" t="s">
        <v>640</v>
      </c>
      <c r="N10" s="32" t="s">
        <v>820</v>
      </c>
      <c r="O10" s="34"/>
      <c r="P10" s="31"/>
      <c r="Q10" s="31"/>
    </row>
    <row r="11" ht="14.25" customHeight="1">
      <c r="A11" s="27">
        <f t="shared" si="4"/>
        <v>8</v>
      </c>
      <c r="B11" s="27" t="s">
        <v>821</v>
      </c>
      <c r="C11" s="37">
        <v>6.0</v>
      </c>
      <c r="D11" s="37"/>
      <c r="E11" s="27"/>
      <c r="F11" s="27"/>
      <c r="G11" s="27" t="s">
        <v>814</v>
      </c>
      <c r="H11" s="27">
        <f t="shared" si="2"/>
        <v>96</v>
      </c>
      <c r="I11" s="27">
        <f t="shared" si="3"/>
        <v>80</v>
      </c>
      <c r="J11" s="161">
        <v>44247.0</v>
      </c>
      <c r="K11" s="27" t="s">
        <v>460</v>
      </c>
      <c r="L11" s="27" t="s">
        <v>762</v>
      </c>
      <c r="M11" s="27" t="s">
        <v>594</v>
      </c>
      <c r="N11" s="27" t="s">
        <v>822</v>
      </c>
      <c r="O11" s="36"/>
      <c r="P11" s="31"/>
      <c r="Q11" s="31" t="s">
        <v>468</v>
      </c>
      <c r="R11" s="39">
        <f>SUM(H4:H1218)</f>
        <v>35293.5</v>
      </c>
    </row>
    <row r="12" ht="14.25" customHeight="1">
      <c r="A12" s="32">
        <f t="shared" si="4"/>
        <v>9</v>
      </c>
      <c r="B12" s="32" t="s">
        <v>823</v>
      </c>
      <c r="C12" s="40">
        <v>12.0</v>
      </c>
      <c r="D12" s="40"/>
      <c r="E12" s="32"/>
      <c r="F12" s="32"/>
      <c r="G12" s="32" t="s">
        <v>814</v>
      </c>
      <c r="H12" s="32">
        <f t="shared" si="2"/>
        <v>192</v>
      </c>
      <c r="I12" s="32">
        <f t="shared" si="3"/>
        <v>160</v>
      </c>
      <c r="J12" s="160">
        <v>44247.0</v>
      </c>
      <c r="K12" s="32" t="s">
        <v>460</v>
      </c>
      <c r="L12" s="32" t="s">
        <v>762</v>
      </c>
      <c r="M12" s="32" t="s">
        <v>640</v>
      </c>
      <c r="N12" s="32" t="s">
        <v>822</v>
      </c>
      <c r="O12" s="34"/>
      <c r="P12" s="31"/>
      <c r="Q12" s="31"/>
    </row>
    <row r="13" ht="14.25" customHeight="1">
      <c r="A13" s="27">
        <f t="shared" si="4"/>
        <v>10</v>
      </c>
      <c r="B13" s="27" t="s">
        <v>824</v>
      </c>
      <c r="C13" s="37">
        <v>12.0</v>
      </c>
      <c r="D13" s="37"/>
      <c r="E13" s="27"/>
      <c r="F13" s="27"/>
      <c r="G13" s="27" t="s">
        <v>814</v>
      </c>
      <c r="H13" s="27">
        <f t="shared" si="2"/>
        <v>192</v>
      </c>
      <c r="I13" s="27">
        <f t="shared" si="3"/>
        <v>160</v>
      </c>
      <c r="J13" s="161">
        <v>44247.0</v>
      </c>
      <c r="K13" s="27" t="s">
        <v>460</v>
      </c>
      <c r="L13" s="27" t="s">
        <v>762</v>
      </c>
      <c r="M13" s="27" t="s">
        <v>555</v>
      </c>
      <c r="N13" s="27" t="s">
        <v>822</v>
      </c>
      <c r="O13" s="27"/>
    </row>
    <row r="14" ht="14.25" customHeight="1">
      <c r="A14" s="32">
        <f t="shared" si="4"/>
        <v>11</v>
      </c>
      <c r="B14" s="32" t="s">
        <v>785</v>
      </c>
      <c r="C14" s="40">
        <v>12.0</v>
      </c>
      <c r="D14" s="40"/>
      <c r="E14" s="32"/>
      <c r="F14" s="32"/>
      <c r="G14" s="32" t="s">
        <v>814</v>
      </c>
      <c r="H14" s="32">
        <f t="shared" si="2"/>
        <v>192</v>
      </c>
      <c r="I14" s="32">
        <f t="shared" si="3"/>
        <v>160</v>
      </c>
      <c r="J14" s="160">
        <v>44247.0</v>
      </c>
      <c r="K14" s="32" t="s">
        <v>460</v>
      </c>
      <c r="L14" s="32" t="s">
        <v>762</v>
      </c>
      <c r="M14" s="32" t="s">
        <v>640</v>
      </c>
      <c r="N14" s="32" t="s">
        <v>51</v>
      </c>
      <c r="O14" s="32"/>
    </row>
    <row r="15" ht="14.25" customHeight="1">
      <c r="A15" s="27">
        <f t="shared" si="4"/>
        <v>12</v>
      </c>
      <c r="B15" s="184" t="s">
        <v>476</v>
      </c>
      <c r="C15" s="27">
        <v>18.0</v>
      </c>
      <c r="D15" s="27">
        <v>12.0</v>
      </c>
      <c r="E15" s="27"/>
      <c r="F15" s="27"/>
      <c r="G15" s="27" t="s">
        <v>623</v>
      </c>
      <c r="H15" s="27">
        <f t="shared" si="2"/>
        <v>504</v>
      </c>
      <c r="I15" s="27">
        <f t="shared" si="3"/>
        <v>420</v>
      </c>
      <c r="J15" s="161">
        <v>44247.0</v>
      </c>
      <c r="K15" s="27" t="s">
        <v>477</v>
      </c>
      <c r="L15" s="27" t="s">
        <v>762</v>
      </c>
      <c r="M15" s="27"/>
      <c r="N15" s="27" t="s">
        <v>825</v>
      </c>
      <c r="O15" s="27"/>
    </row>
    <row r="16" ht="14.25" customHeight="1">
      <c r="A16" s="32">
        <f t="shared" si="4"/>
        <v>13</v>
      </c>
      <c r="B16" s="185" t="s">
        <v>593</v>
      </c>
      <c r="C16" s="32">
        <v>24.0</v>
      </c>
      <c r="D16" s="32">
        <v>12.0</v>
      </c>
      <c r="E16" s="32"/>
      <c r="F16" s="32"/>
      <c r="G16" s="32" t="s">
        <v>753</v>
      </c>
      <c r="H16" s="32">
        <f t="shared" si="2"/>
        <v>600</v>
      </c>
      <c r="I16" s="32">
        <f t="shared" si="3"/>
        <v>500</v>
      </c>
      <c r="J16" s="160">
        <v>44252.0</v>
      </c>
      <c r="K16" s="32" t="s">
        <v>477</v>
      </c>
      <c r="L16" s="32" t="s">
        <v>762</v>
      </c>
      <c r="M16" s="32"/>
      <c r="N16" s="32" t="s">
        <v>826</v>
      </c>
      <c r="O16" s="32"/>
    </row>
    <row r="17" ht="14.25" customHeight="1">
      <c r="A17" s="27">
        <f t="shared" si="4"/>
        <v>14</v>
      </c>
      <c r="B17" s="27" t="s">
        <v>486</v>
      </c>
      <c r="C17" s="27">
        <v>1.0</v>
      </c>
      <c r="D17" s="27">
        <v>1.0</v>
      </c>
      <c r="E17" s="27"/>
      <c r="F17" s="27"/>
      <c r="G17" s="27" t="s">
        <v>110</v>
      </c>
      <c r="H17" s="27">
        <f t="shared" si="2"/>
        <v>34</v>
      </c>
      <c r="I17" s="27">
        <f t="shared" si="3"/>
        <v>28.33333333</v>
      </c>
      <c r="J17" s="161">
        <v>44254.0</v>
      </c>
      <c r="K17" s="27"/>
      <c r="L17" s="27" t="s">
        <v>762</v>
      </c>
      <c r="M17" s="27"/>
      <c r="N17" s="27" t="s">
        <v>827</v>
      </c>
      <c r="O17" s="27"/>
    </row>
    <row r="18" ht="14.25" customHeight="1">
      <c r="A18" s="32">
        <f t="shared" si="4"/>
        <v>15</v>
      </c>
      <c r="B18" s="186" t="s">
        <v>572</v>
      </c>
      <c r="C18" s="32">
        <v>13.0</v>
      </c>
      <c r="D18" s="32"/>
      <c r="E18" s="32"/>
      <c r="F18" s="32"/>
      <c r="G18" s="32" t="s">
        <v>641</v>
      </c>
      <c r="H18" s="32">
        <f t="shared" si="2"/>
        <v>208</v>
      </c>
      <c r="I18" s="32">
        <f t="shared" si="3"/>
        <v>173.3333333</v>
      </c>
      <c r="J18" s="160">
        <v>44264.0</v>
      </c>
      <c r="K18" s="32" t="s">
        <v>460</v>
      </c>
      <c r="L18" s="32" t="s">
        <v>762</v>
      </c>
      <c r="M18" s="32" t="s">
        <v>594</v>
      </c>
      <c r="N18" s="32" t="s">
        <v>828</v>
      </c>
      <c r="O18" s="32"/>
    </row>
    <row r="19" ht="14.25" customHeight="1">
      <c r="A19" s="27">
        <f t="shared" si="4"/>
        <v>16</v>
      </c>
      <c r="B19" s="27" t="s">
        <v>791</v>
      </c>
      <c r="C19" s="27">
        <v>0.0</v>
      </c>
      <c r="D19" s="27">
        <v>24.0</v>
      </c>
      <c r="E19" s="27"/>
      <c r="F19" s="27"/>
      <c r="G19" s="27" t="s">
        <v>641</v>
      </c>
      <c r="H19" s="27">
        <f t="shared" si="2"/>
        <v>432</v>
      </c>
      <c r="I19" s="27">
        <f t="shared" si="3"/>
        <v>360</v>
      </c>
      <c r="J19" s="161">
        <v>44308.0</v>
      </c>
      <c r="K19" s="27" t="s">
        <v>460</v>
      </c>
      <c r="L19" s="27" t="s">
        <v>762</v>
      </c>
      <c r="M19" s="27" t="s">
        <v>594</v>
      </c>
      <c r="N19" s="27" t="s">
        <v>829</v>
      </c>
      <c r="O19" s="27"/>
    </row>
    <row r="20" ht="14.25" customHeight="1">
      <c r="A20" s="32">
        <f t="shared" si="4"/>
        <v>17</v>
      </c>
      <c r="B20" s="32"/>
      <c r="C20" s="32"/>
      <c r="D20" s="32"/>
      <c r="E20" s="32"/>
      <c r="F20" s="32"/>
      <c r="G20" s="32"/>
      <c r="H20" s="32">
        <f t="shared" si="2"/>
        <v>0</v>
      </c>
      <c r="I20" s="32">
        <f t="shared" si="3"/>
        <v>0</v>
      </c>
      <c r="J20" s="181"/>
      <c r="K20" s="32"/>
      <c r="L20" s="32" t="s">
        <v>762</v>
      </c>
      <c r="M20" s="32"/>
      <c r="N20" s="32"/>
      <c r="O20" s="32"/>
    </row>
    <row r="21" ht="14.25" customHeight="1">
      <c r="A21" s="9">
        <f t="shared" si="4"/>
        <v>18</v>
      </c>
      <c r="B21" s="165" t="s">
        <v>450</v>
      </c>
      <c r="C21" s="9">
        <v>12.0</v>
      </c>
      <c r="D21" s="9">
        <v>12.0</v>
      </c>
      <c r="E21" s="9"/>
      <c r="F21" s="9"/>
      <c r="G21" s="9" t="s">
        <v>641</v>
      </c>
      <c r="H21" s="9">
        <f t="shared" si="2"/>
        <v>408</v>
      </c>
      <c r="I21" s="9">
        <f t="shared" si="3"/>
        <v>340</v>
      </c>
      <c r="J21" s="167">
        <v>44263.0</v>
      </c>
      <c r="K21" s="9" t="s">
        <v>477</v>
      </c>
      <c r="L21" s="9" t="s">
        <v>762</v>
      </c>
      <c r="N21" s="9" t="s">
        <v>830</v>
      </c>
    </row>
    <row r="22" ht="14.25" customHeight="1">
      <c r="A22" s="9">
        <f t="shared" si="4"/>
        <v>19</v>
      </c>
      <c r="B22" s="9" t="s">
        <v>731</v>
      </c>
      <c r="C22" s="9">
        <v>3.0</v>
      </c>
      <c r="D22" s="9"/>
      <c r="E22" s="9"/>
      <c r="F22" s="9"/>
      <c r="G22" s="9" t="s">
        <v>831</v>
      </c>
      <c r="H22" s="9">
        <f t="shared" si="2"/>
        <v>48</v>
      </c>
      <c r="I22" s="9">
        <f t="shared" si="3"/>
        <v>40</v>
      </c>
      <c r="J22" s="58">
        <v>44263.0</v>
      </c>
      <c r="K22" s="9"/>
      <c r="L22" s="9" t="s">
        <v>762</v>
      </c>
      <c r="N22" s="9" t="s">
        <v>832</v>
      </c>
    </row>
    <row r="23" ht="14.25" customHeight="1">
      <c r="A23" s="9">
        <f t="shared" si="4"/>
        <v>20</v>
      </c>
      <c r="B23" s="9" t="s">
        <v>833</v>
      </c>
      <c r="C23" s="9">
        <v>4.0</v>
      </c>
      <c r="D23" s="9">
        <v>2.0</v>
      </c>
      <c r="E23" s="9"/>
      <c r="F23" s="9"/>
      <c r="G23" s="9" t="s">
        <v>814</v>
      </c>
      <c r="H23" s="9">
        <f t="shared" si="2"/>
        <v>100</v>
      </c>
      <c r="I23" s="9">
        <f t="shared" si="3"/>
        <v>83.33333333</v>
      </c>
      <c r="J23" s="58">
        <v>44264.0</v>
      </c>
      <c r="K23" s="9" t="s">
        <v>460</v>
      </c>
      <c r="L23" s="9" t="s">
        <v>762</v>
      </c>
      <c r="M23" s="9" t="s">
        <v>764</v>
      </c>
      <c r="N23" s="9" t="s">
        <v>834</v>
      </c>
    </row>
    <row r="24" ht="14.25" customHeight="1">
      <c r="A24" s="9">
        <f t="shared" si="4"/>
        <v>21</v>
      </c>
      <c r="B24" s="9" t="s">
        <v>476</v>
      </c>
      <c r="C24" s="9">
        <v>54.0</v>
      </c>
      <c r="D24" s="9">
        <v>30.0</v>
      </c>
      <c r="E24" s="9">
        <v>18.0</v>
      </c>
      <c r="F24" s="9"/>
      <c r="G24" s="9" t="s">
        <v>623</v>
      </c>
      <c r="H24" s="9">
        <f t="shared" si="2"/>
        <v>1719</v>
      </c>
      <c r="I24" s="9">
        <f t="shared" si="3"/>
        <v>1432.5</v>
      </c>
      <c r="J24" s="58">
        <v>44334.0</v>
      </c>
      <c r="K24" s="9" t="s">
        <v>477</v>
      </c>
      <c r="L24" s="9" t="s">
        <v>453</v>
      </c>
      <c r="N24" s="9" t="s">
        <v>623</v>
      </c>
    </row>
    <row r="25" ht="14.25" customHeight="1">
      <c r="A25" s="9">
        <f t="shared" si="4"/>
        <v>22</v>
      </c>
      <c r="B25" s="9"/>
      <c r="C25" s="9"/>
      <c r="E25" s="9"/>
      <c r="F25" s="9"/>
      <c r="G25" s="9"/>
      <c r="H25" s="9">
        <f t="shared" si="2"/>
        <v>0</v>
      </c>
      <c r="I25" s="9">
        <f t="shared" si="3"/>
        <v>0</v>
      </c>
      <c r="J25" s="58">
        <v>44423.0</v>
      </c>
      <c r="K25" s="9"/>
      <c r="L25" s="9" t="s">
        <v>453</v>
      </c>
    </row>
    <row r="26">
      <c r="A26" s="9">
        <f t="shared" si="4"/>
        <v>23</v>
      </c>
      <c r="B26" s="9"/>
      <c r="C26" s="9"/>
      <c r="E26" s="9"/>
      <c r="F26" s="9"/>
      <c r="G26" s="9"/>
      <c r="H26" s="9">
        <f t="shared" si="2"/>
        <v>0</v>
      </c>
      <c r="I26" s="9">
        <f t="shared" si="3"/>
        <v>0</v>
      </c>
      <c r="J26" s="9"/>
      <c r="K26" s="9"/>
      <c r="L26" s="9"/>
    </row>
    <row r="27" ht="14.25" customHeight="1">
      <c r="A27" s="9">
        <f t="shared" si="4"/>
        <v>24</v>
      </c>
      <c r="B27" s="168" t="s">
        <v>835</v>
      </c>
      <c r="C27" s="9">
        <v>3.0</v>
      </c>
      <c r="D27" s="9">
        <v>3.0</v>
      </c>
      <c r="E27" s="9"/>
      <c r="F27" s="9"/>
      <c r="G27" s="9" t="s">
        <v>753</v>
      </c>
      <c r="H27" s="9">
        <f t="shared" si="2"/>
        <v>102</v>
      </c>
      <c r="I27" s="9">
        <f t="shared" si="3"/>
        <v>85</v>
      </c>
      <c r="J27" s="169">
        <v>44252.0</v>
      </c>
      <c r="K27" s="9" t="s">
        <v>460</v>
      </c>
      <c r="L27" s="9"/>
      <c r="M27" s="9" t="s">
        <v>640</v>
      </c>
      <c r="N27" s="9" t="s">
        <v>753</v>
      </c>
    </row>
    <row r="28" ht="14.25" customHeight="1">
      <c r="A28" s="9">
        <f t="shared" si="4"/>
        <v>25</v>
      </c>
      <c r="B28" s="168" t="s">
        <v>836</v>
      </c>
      <c r="C28" s="9">
        <v>1.0</v>
      </c>
      <c r="D28" s="9">
        <v>2.0</v>
      </c>
      <c r="E28" s="9"/>
      <c r="F28" s="9"/>
      <c r="G28" s="9" t="s">
        <v>753</v>
      </c>
      <c r="H28" s="9">
        <f t="shared" si="2"/>
        <v>52</v>
      </c>
      <c r="I28" s="9">
        <f t="shared" si="3"/>
        <v>43.33333333</v>
      </c>
      <c r="J28" s="167">
        <v>44252.0</v>
      </c>
      <c r="K28" s="9" t="s">
        <v>460</v>
      </c>
      <c r="L28" s="9"/>
      <c r="M28" s="9" t="s">
        <v>837</v>
      </c>
    </row>
    <row r="29" ht="14.25" customHeight="1">
      <c r="A29" s="9">
        <f t="shared" si="4"/>
        <v>26</v>
      </c>
      <c r="B29" s="9" t="s">
        <v>650</v>
      </c>
      <c r="C29" s="9">
        <v>6.0</v>
      </c>
      <c r="E29" s="9"/>
      <c r="F29" s="9"/>
      <c r="G29" s="9" t="s">
        <v>753</v>
      </c>
      <c r="H29" s="9">
        <f t="shared" si="2"/>
        <v>96</v>
      </c>
      <c r="I29" s="9">
        <f t="shared" si="3"/>
        <v>80</v>
      </c>
      <c r="J29" s="59">
        <v>44561.0</v>
      </c>
      <c r="K29" s="9" t="s">
        <v>460</v>
      </c>
      <c r="L29" s="9" t="s">
        <v>453</v>
      </c>
      <c r="M29" s="9" t="s">
        <v>838</v>
      </c>
    </row>
    <row r="30" ht="14.25" customHeight="1">
      <c r="A30" s="9">
        <f t="shared" si="4"/>
        <v>27</v>
      </c>
      <c r="B30" s="170"/>
      <c r="E30" s="9"/>
      <c r="F30" s="9"/>
      <c r="G30" s="9"/>
      <c r="H30" s="9">
        <f t="shared" si="2"/>
        <v>0</v>
      </c>
      <c r="I30" s="9">
        <f t="shared" si="3"/>
        <v>0</v>
      </c>
      <c r="K30" s="9"/>
      <c r="L30" s="9"/>
    </row>
    <row r="31" ht="14.25" customHeight="1">
      <c r="A31" s="9">
        <f t="shared" si="4"/>
        <v>28</v>
      </c>
      <c r="B31" s="171" t="s">
        <v>689</v>
      </c>
      <c r="C31" s="9">
        <v>6.0</v>
      </c>
      <c r="D31" s="9">
        <v>6.0</v>
      </c>
      <c r="E31" s="9"/>
      <c r="F31" s="9"/>
      <c r="G31" s="9" t="s">
        <v>623</v>
      </c>
      <c r="H31" s="9">
        <f t="shared" si="2"/>
        <v>204</v>
      </c>
      <c r="I31" s="9">
        <f t="shared" si="3"/>
        <v>170</v>
      </c>
      <c r="J31" s="58">
        <v>44247.0</v>
      </c>
      <c r="K31" s="9" t="s">
        <v>460</v>
      </c>
      <c r="L31" s="9"/>
      <c r="M31" s="9" t="s">
        <v>640</v>
      </c>
      <c r="N31" s="31" t="s">
        <v>839</v>
      </c>
    </row>
    <row r="32" ht="14.25" customHeight="1">
      <c r="A32" s="9">
        <f t="shared" si="4"/>
        <v>29</v>
      </c>
      <c r="B32" s="9" t="s">
        <v>840</v>
      </c>
      <c r="C32" s="9">
        <v>6.0</v>
      </c>
      <c r="E32" s="9"/>
      <c r="F32" s="9"/>
      <c r="G32" s="9" t="s">
        <v>641</v>
      </c>
      <c r="H32" s="9">
        <f t="shared" si="2"/>
        <v>96</v>
      </c>
      <c r="I32" s="9">
        <f t="shared" si="3"/>
        <v>80</v>
      </c>
      <c r="J32" s="58">
        <v>44287.0</v>
      </c>
      <c r="K32" s="9" t="s">
        <v>460</v>
      </c>
      <c r="L32" s="9"/>
      <c r="M32" s="9" t="s">
        <v>594</v>
      </c>
      <c r="N32" s="31" t="s">
        <v>841</v>
      </c>
    </row>
    <row r="33" ht="14.25" customHeight="1">
      <c r="A33" s="9">
        <f t="shared" si="4"/>
        <v>30</v>
      </c>
      <c r="E33" s="9"/>
      <c r="F33" s="9"/>
      <c r="G33" s="9"/>
      <c r="H33" s="9">
        <f t="shared" si="2"/>
        <v>0</v>
      </c>
      <c r="I33" s="9">
        <f t="shared" si="3"/>
        <v>0</v>
      </c>
      <c r="K33" s="9"/>
      <c r="L33" s="9"/>
      <c r="N33" s="31"/>
    </row>
    <row r="34" ht="14.25" customHeight="1">
      <c r="A34" s="9">
        <f t="shared" si="4"/>
        <v>31</v>
      </c>
      <c r="B34" s="9"/>
      <c r="E34" s="9"/>
      <c r="F34" s="9"/>
      <c r="G34" s="9"/>
      <c r="H34" s="9">
        <f t="shared" si="2"/>
        <v>0</v>
      </c>
      <c r="I34" s="9">
        <f t="shared" si="3"/>
        <v>0</v>
      </c>
      <c r="K34" s="9"/>
      <c r="L34" s="9"/>
    </row>
    <row r="35" ht="14.25" customHeight="1">
      <c r="A35" s="9">
        <f t="shared" si="4"/>
        <v>32</v>
      </c>
      <c r="B35" s="9" t="s">
        <v>842</v>
      </c>
      <c r="C35" s="9">
        <v>4.0</v>
      </c>
      <c r="D35" s="9">
        <v>2.0</v>
      </c>
      <c r="E35" s="9"/>
      <c r="F35" s="9"/>
      <c r="G35" s="9" t="s">
        <v>641</v>
      </c>
      <c r="H35" s="9">
        <f t="shared" si="2"/>
        <v>100</v>
      </c>
      <c r="I35" s="9">
        <f t="shared" si="3"/>
        <v>83.33333333</v>
      </c>
      <c r="J35" s="58">
        <v>44290.0</v>
      </c>
      <c r="K35" s="9" t="s">
        <v>460</v>
      </c>
      <c r="L35" s="9"/>
      <c r="M35" s="9" t="s">
        <v>640</v>
      </c>
      <c r="N35" s="9" t="s">
        <v>641</v>
      </c>
    </row>
    <row r="36" ht="14.25" customHeight="1">
      <c r="A36" s="9" t="s">
        <v>724</v>
      </c>
      <c r="B36" s="9" t="s">
        <v>486</v>
      </c>
      <c r="C36" s="9">
        <v>2.0</v>
      </c>
      <c r="D36" s="9">
        <v>3.0</v>
      </c>
      <c r="E36" s="9"/>
      <c r="F36" s="9"/>
      <c r="G36" s="9" t="s">
        <v>831</v>
      </c>
      <c r="H36" s="9">
        <f t="shared" si="2"/>
        <v>0</v>
      </c>
      <c r="I36" s="9">
        <f t="shared" si="3"/>
        <v>0</v>
      </c>
      <c r="J36" s="58">
        <v>44289.0</v>
      </c>
      <c r="K36" s="9" t="s">
        <v>202</v>
      </c>
      <c r="L36" s="9"/>
      <c r="M36" s="9" t="s">
        <v>843</v>
      </c>
      <c r="N36" s="9" t="s">
        <v>844</v>
      </c>
    </row>
    <row r="37" ht="14.25" customHeight="1">
      <c r="A37" s="9">
        <f t="shared" ref="A37:A42" si="5">IF(K37="CAdeau",0,MAX($A$3:A36)+1)</f>
        <v>33</v>
      </c>
      <c r="B37" s="9" t="s">
        <v>481</v>
      </c>
      <c r="C37" s="9">
        <v>60.0</v>
      </c>
      <c r="E37" s="9"/>
      <c r="F37" s="9"/>
      <c r="G37" s="9" t="s">
        <v>814</v>
      </c>
      <c r="H37" s="9">
        <f t="shared" si="2"/>
        <v>960</v>
      </c>
      <c r="I37" s="9">
        <f t="shared" si="3"/>
        <v>800</v>
      </c>
      <c r="J37" s="58" t="s">
        <v>845</v>
      </c>
      <c r="K37" s="9" t="s">
        <v>460</v>
      </c>
      <c r="L37" s="9"/>
      <c r="M37" s="9" t="s">
        <v>594</v>
      </c>
      <c r="N37" s="9" t="s">
        <v>11</v>
      </c>
    </row>
    <row r="38" ht="14.25" customHeight="1">
      <c r="A38" s="9">
        <f t="shared" si="5"/>
        <v>34</v>
      </c>
      <c r="B38" s="9" t="s">
        <v>488</v>
      </c>
      <c r="C38" s="9">
        <v>6.0</v>
      </c>
      <c r="E38" s="9"/>
      <c r="F38" s="9"/>
      <c r="G38" s="9" t="s">
        <v>814</v>
      </c>
      <c r="H38" s="9">
        <f t="shared" si="2"/>
        <v>96</v>
      </c>
      <c r="I38" s="9">
        <f t="shared" si="3"/>
        <v>80</v>
      </c>
      <c r="J38" s="58">
        <v>44304.0</v>
      </c>
      <c r="K38" s="9" t="s">
        <v>460</v>
      </c>
      <c r="L38" s="9"/>
      <c r="M38" s="9" t="s">
        <v>846</v>
      </c>
      <c r="N38" s="9" t="s">
        <v>847</v>
      </c>
    </row>
    <row r="39" ht="14.25" customHeight="1">
      <c r="A39" s="9">
        <f t="shared" si="5"/>
        <v>35</v>
      </c>
      <c r="B39" s="9" t="s">
        <v>530</v>
      </c>
      <c r="D39" s="9">
        <v>6.0</v>
      </c>
      <c r="E39" s="9"/>
      <c r="F39" s="9"/>
      <c r="G39" s="9" t="s">
        <v>814</v>
      </c>
      <c r="H39" s="9">
        <f t="shared" si="2"/>
        <v>108</v>
      </c>
      <c r="I39" s="9">
        <f t="shared" si="3"/>
        <v>90</v>
      </c>
      <c r="K39" s="9" t="s">
        <v>460</v>
      </c>
      <c r="L39" s="9" t="s">
        <v>453</v>
      </c>
      <c r="M39" s="9" t="s">
        <v>848</v>
      </c>
    </row>
    <row r="40" ht="14.25" customHeight="1">
      <c r="A40" s="9">
        <f t="shared" si="5"/>
        <v>36</v>
      </c>
      <c r="B40" s="9" t="s">
        <v>452</v>
      </c>
      <c r="C40" s="9">
        <v>6.0</v>
      </c>
      <c r="E40" s="9"/>
      <c r="F40" s="9"/>
      <c r="G40" s="9" t="s">
        <v>110</v>
      </c>
      <c r="H40" s="9"/>
      <c r="I40" s="9"/>
      <c r="J40" s="58">
        <v>44308.0</v>
      </c>
      <c r="K40" s="9" t="s">
        <v>460</v>
      </c>
      <c r="L40" s="9"/>
      <c r="M40" s="9" t="s">
        <v>110</v>
      </c>
      <c r="N40" s="9" t="s">
        <v>110</v>
      </c>
    </row>
    <row r="41" ht="14.25" customHeight="1">
      <c r="A41" s="9">
        <f t="shared" si="5"/>
        <v>37</v>
      </c>
      <c r="B41" s="9" t="s">
        <v>576</v>
      </c>
      <c r="C41" s="9">
        <v>6.0</v>
      </c>
      <c r="E41" s="9"/>
      <c r="F41" s="9"/>
      <c r="G41" s="9" t="s">
        <v>641</v>
      </c>
      <c r="H41" s="9">
        <f t="shared" ref="H41:H42" si="6">IF(K41="Cadeau",0,C41*$R$4+D41*$R$5+E41*$R$6+F41*$R$7)</f>
        <v>96</v>
      </c>
      <c r="I41" s="9">
        <f t="shared" ref="I41:I47" si="7">H41/1.2</f>
        <v>80</v>
      </c>
      <c r="J41" s="58">
        <v>44316.0</v>
      </c>
      <c r="K41" s="9" t="s">
        <v>460</v>
      </c>
      <c r="L41" s="9"/>
      <c r="M41" s="9" t="s">
        <v>594</v>
      </c>
      <c r="N41" s="9" t="s">
        <v>849</v>
      </c>
    </row>
    <row r="42" ht="14.25" customHeight="1">
      <c r="A42" s="9">
        <f t="shared" si="5"/>
        <v>38</v>
      </c>
      <c r="B42" s="9" t="s">
        <v>450</v>
      </c>
      <c r="C42" s="9">
        <v>6.0</v>
      </c>
      <c r="E42" s="9"/>
      <c r="F42" s="9"/>
      <c r="G42" s="9" t="s">
        <v>641</v>
      </c>
      <c r="H42" s="9">
        <f t="shared" si="6"/>
        <v>96</v>
      </c>
      <c r="I42" s="9">
        <f t="shared" si="7"/>
        <v>80</v>
      </c>
      <c r="J42" s="58">
        <v>44316.0</v>
      </c>
      <c r="K42" s="9" t="s">
        <v>477</v>
      </c>
      <c r="L42" s="9"/>
      <c r="M42" s="9" t="s">
        <v>478</v>
      </c>
      <c r="N42" s="9" t="s">
        <v>850</v>
      </c>
    </row>
    <row r="43" ht="14.25" customHeight="1">
      <c r="A43" s="9" t="s">
        <v>733</v>
      </c>
      <c r="B43" s="9" t="s">
        <v>486</v>
      </c>
      <c r="C43" s="9">
        <v>1.0</v>
      </c>
      <c r="D43" s="9"/>
      <c r="E43" s="9">
        <v>1.0</v>
      </c>
      <c r="F43" s="9"/>
      <c r="G43" s="9" t="s">
        <v>110</v>
      </c>
      <c r="H43" s="9">
        <v>0.0</v>
      </c>
      <c r="I43" s="9">
        <f t="shared" si="7"/>
        <v>0</v>
      </c>
      <c r="K43" s="9" t="s">
        <v>460</v>
      </c>
      <c r="L43" s="9"/>
      <c r="M43" s="9" t="s">
        <v>110</v>
      </c>
      <c r="N43" s="9" t="s">
        <v>851</v>
      </c>
    </row>
    <row r="44" ht="14.25" customHeight="1">
      <c r="A44" s="9">
        <f t="shared" ref="A44:A46" si="8">IF(K44="CAdeau",0,MAX($A$3:A43)+1)</f>
        <v>0</v>
      </c>
      <c r="B44" s="9" t="s">
        <v>452</v>
      </c>
      <c r="C44" s="9">
        <v>2.0</v>
      </c>
      <c r="D44" s="9">
        <v>2.0</v>
      </c>
      <c r="E44" s="9">
        <v>1.0</v>
      </c>
      <c r="F44" s="9"/>
      <c r="G44" s="9" t="s">
        <v>852</v>
      </c>
      <c r="H44" s="9">
        <f t="shared" ref="H44:H79" si="9">IF(K44="Cadeau",0,C44*$R$4+D44*$R$5+E44*$R$6+F44*$R$7)</f>
        <v>0</v>
      </c>
      <c r="I44" s="9">
        <f t="shared" si="7"/>
        <v>0</v>
      </c>
      <c r="J44" s="58">
        <v>44334.0</v>
      </c>
      <c r="K44" s="9" t="s">
        <v>202</v>
      </c>
      <c r="L44" s="9"/>
      <c r="N44" s="9" t="s">
        <v>853</v>
      </c>
    </row>
    <row r="45" ht="14.25" customHeight="1">
      <c r="A45" s="9">
        <f t="shared" si="8"/>
        <v>39</v>
      </c>
      <c r="B45" s="9" t="s">
        <v>450</v>
      </c>
      <c r="C45" s="9">
        <v>6.0</v>
      </c>
      <c r="D45" s="9">
        <v>2.0</v>
      </c>
      <c r="E45" s="9">
        <v>6.0</v>
      </c>
      <c r="F45" s="9"/>
      <c r="G45" s="9" t="s">
        <v>641</v>
      </c>
      <c r="H45" s="9">
        <f t="shared" si="9"/>
        <v>237</v>
      </c>
      <c r="I45" s="9">
        <f t="shared" si="7"/>
        <v>197.5</v>
      </c>
      <c r="J45" s="58">
        <v>44329.0</v>
      </c>
      <c r="K45" s="9"/>
      <c r="L45" s="9"/>
      <c r="N45" s="9" t="s">
        <v>854</v>
      </c>
    </row>
    <row r="46" ht="14.25" customHeight="1">
      <c r="A46" s="9">
        <f t="shared" si="8"/>
        <v>40</v>
      </c>
      <c r="B46" s="9" t="s">
        <v>479</v>
      </c>
      <c r="C46" s="9">
        <v>12.0</v>
      </c>
      <c r="E46" s="9"/>
      <c r="F46" s="9"/>
      <c r="G46" s="9" t="s">
        <v>814</v>
      </c>
      <c r="H46" s="9">
        <f t="shared" si="9"/>
        <v>192</v>
      </c>
      <c r="I46" s="9">
        <f t="shared" si="7"/>
        <v>160</v>
      </c>
      <c r="J46" s="58">
        <v>44340.0</v>
      </c>
      <c r="K46" s="9" t="s">
        <v>460</v>
      </c>
      <c r="L46" s="9" t="s">
        <v>453</v>
      </c>
      <c r="M46" s="9" t="s">
        <v>493</v>
      </c>
      <c r="N46" s="9"/>
    </row>
    <row r="47" ht="14.25" customHeight="1">
      <c r="A47" s="9">
        <v>5.0</v>
      </c>
      <c r="B47" s="9" t="s">
        <v>855</v>
      </c>
      <c r="C47" s="9">
        <v>6.0</v>
      </c>
      <c r="E47" s="9"/>
      <c r="F47" s="9"/>
      <c r="G47" s="9" t="s">
        <v>856</v>
      </c>
      <c r="H47" s="9">
        <f t="shared" si="9"/>
        <v>96</v>
      </c>
      <c r="I47" s="9">
        <f t="shared" si="7"/>
        <v>80</v>
      </c>
      <c r="J47" s="58">
        <v>44335.0</v>
      </c>
      <c r="K47" s="9" t="s">
        <v>460</v>
      </c>
      <c r="L47" s="9" t="s">
        <v>453</v>
      </c>
      <c r="M47" s="9" t="s">
        <v>516</v>
      </c>
      <c r="N47" s="9" t="s">
        <v>857</v>
      </c>
    </row>
    <row r="48" ht="14.25" customHeight="1">
      <c r="G48" s="9"/>
      <c r="H48" s="9">
        <f t="shared" si="9"/>
        <v>0</v>
      </c>
      <c r="J48" s="58"/>
      <c r="K48" s="9"/>
      <c r="L48" s="9"/>
    </row>
    <row r="49" ht="14.25" customHeight="1">
      <c r="A49" s="9">
        <f>IF(K49="CAdeau",0,MAX($A$3:A47)+1)</f>
        <v>41</v>
      </c>
      <c r="B49" s="9" t="s">
        <v>476</v>
      </c>
      <c r="C49" s="9">
        <v>6.0</v>
      </c>
      <c r="E49" s="9"/>
      <c r="F49" s="9"/>
      <c r="G49" s="9" t="s">
        <v>623</v>
      </c>
      <c r="H49" s="9">
        <f t="shared" si="9"/>
        <v>96</v>
      </c>
      <c r="I49" s="9">
        <f t="shared" ref="I49:I68" si="10">H49/1.2</f>
        <v>80</v>
      </c>
      <c r="J49" s="58">
        <v>44248.0</v>
      </c>
      <c r="K49" s="9" t="s">
        <v>460</v>
      </c>
      <c r="L49" s="9" t="s">
        <v>453</v>
      </c>
      <c r="M49" s="9" t="s">
        <v>640</v>
      </c>
      <c r="N49" s="9" t="s">
        <v>858</v>
      </c>
    </row>
    <row r="50" ht="14.25" customHeight="1">
      <c r="A50" s="9">
        <f t="shared" ref="A50:A100" si="11">IF(K50="CAdeau",0,MAX($A$3:A49)+1)</f>
        <v>42</v>
      </c>
      <c r="B50" s="9" t="s">
        <v>779</v>
      </c>
      <c r="C50" s="9">
        <v>18.0</v>
      </c>
      <c r="E50" s="9"/>
      <c r="F50" s="9"/>
      <c r="G50" s="9" t="s">
        <v>814</v>
      </c>
      <c r="H50" s="9">
        <f t="shared" si="9"/>
        <v>288</v>
      </c>
      <c r="I50" s="9">
        <f t="shared" si="10"/>
        <v>240</v>
      </c>
      <c r="J50" s="58">
        <v>44351.0</v>
      </c>
      <c r="K50" s="9" t="s">
        <v>460</v>
      </c>
      <c r="L50" s="9" t="s">
        <v>453</v>
      </c>
      <c r="M50" s="9" t="s">
        <v>594</v>
      </c>
    </row>
    <row r="51" ht="14.25" customHeight="1">
      <c r="A51" s="9">
        <f t="shared" si="11"/>
        <v>43</v>
      </c>
      <c r="B51" s="9" t="s">
        <v>795</v>
      </c>
      <c r="C51" s="9">
        <v>24.0</v>
      </c>
      <c r="E51" s="9"/>
      <c r="F51" s="9"/>
      <c r="G51" s="9" t="s">
        <v>814</v>
      </c>
      <c r="H51" s="9">
        <f t="shared" si="9"/>
        <v>384</v>
      </c>
      <c r="I51" s="9">
        <f t="shared" si="10"/>
        <v>320</v>
      </c>
      <c r="J51" s="58">
        <v>44352.0</v>
      </c>
      <c r="K51" s="9" t="s">
        <v>460</v>
      </c>
      <c r="L51" s="9" t="s">
        <v>453</v>
      </c>
      <c r="M51" s="9" t="s">
        <v>493</v>
      </c>
    </row>
    <row r="52" ht="14.25" customHeight="1">
      <c r="A52" s="9">
        <f t="shared" si="11"/>
        <v>44</v>
      </c>
      <c r="B52" s="9" t="s">
        <v>823</v>
      </c>
      <c r="C52" s="9">
        <v>6.0</v>
      </c>
      <c r="E52" s="9"/>
      <c r="F52" s="9"/>
      <c r="G52" s="9" t="s">
        <v>814</v>
      </c>
      <c r="H52" s="9">
        <f t="shared" si="9"/>
        <v>96</v>
      </c>
      <c r="I52" s="9">
        <f t="shared" si="10"/>
        <v>80</v>
      </c>
      <c r="J52" s="58">
        <v>44352.0</v>
      </c>
      <c r="K52" s="9" t="s">
        <v>460</v>
      </c>
      <c r="L52" s="9" t="s">
        <v>453</v>
      </c>
      <c r="M52" s="9" t="s">
        <v>859</v>
      </c>
    </row>
    <row r="53" ht="14.25" customHeight="1">
      <c r="A53" s="9">
        <f t="shared" si="11"/>
        <v>45</v>
      </c>
      <c r="B53" s="9" t="s">
        <v>785</v>
      </c>
      <c r="C53" s="9">
        <v>60.0</v>
      </c>
      <c r="E53" s="9">
        <v>6.0</v>
      </c>
      <c r="F53" s="9"/>
      <c r="G53" s="9" t="s">
        <v>860</v>
      </c>
      <c r="H53" s="9">
        <f t="shared" si="9"/>
        <v>1065</v>
      </c>
      <c r="I53" s="9">
        <f t="shared" si="10"/>
        <v>887.5</v>
      </c>
      <c r="J53" s="58">
        <v>44352.0</v>
      </c>
      <c r="K53" s="9" t="s">
        <v>460</v>
      </c>
      <c r="L53" s="9" t="s">
        <v>453</v>
      </c>
      <c r="M53" s="9" t="s">
        <v>493</v>
      </c>
      <c r="N53" s="9" t="s">
        <v>861</v>
      </c>
    </row>
    <row r="54" ht="14.25" customHeight="1">
      <c r="A54" s="9">
        <f t="shared" si="11"/>
        <v>46</v>
      </c>
      <c r="B54" s="9" t="s">
        <v>862</v>
      </c>
      <c r="C54" s="9">
        <v>12.0</v>
      </c>
      <c r="E54" s="9"/>
      <c r="F54" s="9"/>
      <c r="G54" s="9" t="s">
        <v>814</v>
      </c>
      <c r="H54" s="9">
        <f t="shared" si="9"/>
        <v>192</v>
      </c>
      <c r="I54" s="9">
        <f t="shared" si="10"/>
        <v>160</v>
      </c>
      <c r="J54" s="58">
        <v>44352.0</v>
      </c>
      <c r="K54" s="9" t="s">
        <v>460</v>
      </c>
      <c r="L54" s="9" t="s">
        <v>453</v>
      </c>
      <c r="M54" s="9" t="s">
        <v>516</v>
      </c>
    </row>
    <row r="55" ht="14.25" customHeight="1">
      <c r="A55" s="9">
        <f t="shared" si="11"/>
        <v>47</v>
      </c>
      <c r="B55" s="55" t="s">
        <v>863</v>
      </c>
      <c r="C55" s="55"/>
      <c r="D55" s="55">
        <v>72.0</v>
      </c>
      <c r="E55" s="55"/>
      <c r="F55" s="55"/>
      <c r="G55" s="55"/>
      <c r="H55" s="55">
        <f t="shared" si="9"/>
        <v>1296</v>
      </c>
      <c r="I55" s="55">
        <f t="shared" si="10"/>
        <v>1080</v>
      </c>
      <c r="J55" s="172">
        <v>44361.0</v>
      </c>
      <c r="K55" s="9" t="s">
        <v>460</v>
      </c>
      <c r="L55" s="9" t="s">
        <v>453</v>
      </c>
      <c r="M55" s="9" t="s">
        <v>493</v>
      </c>
      <c r="N55" s="9" t="s">
        <v>864</v>
      </c>
      <c r="O55" s="55">
        <v>70.0</v>
      </c>
    </row>
    <row r="56" ht="14.25" customHeight="1">
      <c r="A56" s="9">
        <f t="shared" si="11"/>
        <v>48</v>
      </c>
      <c r="B56" s="9" t="s">
        <v>865</v>
      </c>
      <c r="C56" s="9">
        <v>18.0</v>
      </c>
      <c r="E56" s="9"/>
      <c r="F56" s="9"/>
      <c r="G56" s="9" t="s">
        <v>814</v>
      </c>
      <c r="H56" s="9">
        <f t="shared" si="9"/>
        <v>288</v>
      </c>
      <c r="I56" s="9">
        <f t="shared" si="10"/>
        <v>240</v>
      </c>
      <c r="J56" s="58">
        <v>44353.0</v>
      </c>
      <c r="K56" s="9" t="s">
        <v>460</v>
      </c>
      <c r="L56" s="9" t="s">
        <v>453</v>
      </c>
      <c r="M56" s="9" t="s">
        <v>493</v>
      </c>
      <c r="N56" s="9" t="s">
        <v>866</v>
      </c>
    </row>
    <row r="57" ht="14.25" customHeight="1">
      <c r="A57" s="9">
        <f t="shared" si="11"/>
        <v>49</v>
      </c>
      <c r="B57" s="9" t="s">
        <v>785</v>
      </c>
      <c r="C57" s="9">
        <v>12.0</v>
      </c>
      <c r="E57" s="9">
        <v>6.0</v>
      </c>
      <c r="F57" s="9"/>
      <c r="G57" s="9" t="s">
        <v>814</v>
      </c>
      <c r="H57" s="9">
        <f t="shared" si="9"/>
        <v>297</v>
      </c>
      <c r="I57" s="9">
        <f t="shared" si="10"/>
        <v>247.5</v>
      </c>
      <c r="J57" s="58">
        <v>44353.0</v>
      </c>
      <c r="K57" s="9" t="s">
        <v>460</v>
      </c>
      <c r="L57" s="9" t="s">
        <v>453</v>
      </c>
      <c r="M57" s="9" t="s">
        <v>867</v>
      </c>
      <c r="N57" s="9" t="s">
        <v>868</v>
      </c>
    </row>
    <row r="58" ht="14.25" customHeight="1">
      <c r="A58" s="9">
        <f t="shared" si="11"/>
        <v>50</v>
      </c>
      <c r="B58" s="9" t="s">
        <v>474</v>
      </c>
      <c r="C58" s="9">
        <v>6.0</v>
      </c>
      <c r="E58" s="9">
        <v>6.0</v>
      </c>
      <c r="F58" s="9"/>
      <c r="G58" s="9" t="s">
        <v>623</v>
      </c>
      <c r="H58" s="9">
        <f t="shared" si="9"/>
        <v>201</v>
      </c>
      <c r="I58" s="9">
        <f t="shared" si="10"/>
        <v>167.5</v>
      </c>
      <c r="J58" s="58">
        <v>44357.0</v>
      </c>
      <c r="K58" s="9" t="s">
        <v>460</v>
      </c>
      <c r="L58" s="9" t="s">
        <v>453</v>
      </c>
      <c r="M58" s="9" t="s">
        <v>846</v>
      </c>
      <c r="N58" s="9" t="s">
        <v>869</v>
      </c>
    </row>
    <row r="59" ht="14.25" customHeight="1">
      <c r="A59" s="9">
        <f t="shared" si="11"/>
        <v>51</v>
      </c>
      <c r="B59" s="9" t="s">
        <v>870</v>
      </c>
      <c r="C59" s="9">
        <v>6.0</v>
      </c>
      <c r="E59" s="9">
        <v>6.0</v>
      </c>
      <c r="F59" s="9"/>
      <c r="G59" s="9" t="s">
        <v>641</v>
      </c>
      <c r="H59" s="9">
        <f t="shared" si="9"/>
        <v>201</v>
      </c>
      <c r="I59" s="9">
        <f t="shared" si="10"/>
        <v>167.5</v>
      </c>
      <c r="J59" s="58">
        <v>44381.0</v>
      </c>
      <c r="K59" s="9" t="s">
        <v>460</v>
      </c>
      <c r="L59" s="9"/>
      <c r="M59" s="9" t="s">
        <v>493</v>
      </c>
      <c r="N59" s="9" t="s">
        <v>641</v>
      </c>
    </row>
    <row r="60" ht="14.25" customHeight="1">
      <c r="A60" s="9">
        <f t="shared" si="11"/>
        <v>52</v>
      </c>
      <c r="B60" s="9" t="s">
        <v>723</v>
      </c>
      <c r="C60" s="9">
        <v>1.0</v>
      </c>
      <c r="E60" s="9">
        <v>51.0</v>
      </c>
      <c r="F60" s="9"/>
      <c r="G60" s="9" t="s">
        <v>814</v>
      </c>
      <c r="H60" s="9">
        <f t="shared" si="9"/>
        <v>908.5</v>
      </c>
      <c r="I60" s="9">
        <f t="shared" si="10"/>
        <v>757.0833333</v>
      </c>
      <c r="J60" s="58">
        <v>44381.0</v>
      </c>
      <c r="K60" s="9" t="s">
        <v>460</v>
      </c>
      <c r="L60" s="9" t="s">
        <v>453</v>
      </c>
      <c r="M60" s="9" t="s">
        <v>516</v>
      </c>
    </row>
    <row r="61" ht="14.25" customHeight="1">
      <c r="A61" s="9">
        <f t="shared" si="11"/>
        <v>53</v>
      </c>
      <c r="B61" s="9" t="s">
        <v>569</v>
      </c>
      <c r="E61" s="9">
        <v>1.0</v>
      </c>
      <c r="F61" s="9"/>
      <c r="G61" s="9" t="s">
        <v>814</v>
      </c>
      <c r="H61" s="9">
        <f t="shared" si="9"/>
        <v>17.5</v>
      </c>
      <c r="I61" s="9">
        <f t="shared" si="10"/>
        <v>14.58333333</v>
      </c>
      <c r="J61" s="58">
        <v>44381.0</v>
      </c>
      <c r="K61" s="9" t="s">
        <v>460</v>
      </c>
      <c r="L61" s="9" t="s">
        <v>453</v>
      </c>
    </row>
    <row r="62" ht="14.25" customHeight="1">
      <c r="A62" s="9">
        <f t="shared" si="11"/>
        <v>0</v>
      </c>
      <c r="B62" s="9" t="s">
        <v>452</v>
      </c>
      <c r="C62" s="9">
        <v>2.0</v>
      </c>
      <c r="E62" s="9">
        <v>1.0</v>
      </c>
      <c r="F62" s="9"/>
      <c r="G62" s="9" t="s">
        <v>871</v>
      </c>
      <c r="H62" s="9">
        <f t="shared" si="9"/>
        <v>0</v>
      </c>
      <c r="I62" s="9">
        <f t="shared" si="10"/>
        <v>0</v>
      </c>
      <c r="K62" s="9" t="s">
        <v>202</v>
      </c>
      <c r="L62" s="9"/>
      <c r="M62" s="9" t="s">
        <v>872</v>
      </c>
    </row>
    <row r="63" ht="14.25" customHeight="1">
      <c r="A63" s="9">
        <f t="shared" si="11"/>
        <v>54</v>
      </c>
      <c r="B63" s="9" t="s">
        <v>450</v>
      </c>
      <c r="C63" s="9">
        <v>60.0</v>
      </c>
      <c r="D63" s="9">
        <v>24.0</v>
      </c>
      <c r="E63" s="9">
        <v>12.0</v>
      </c>
      <c r="F63" s="9"/>
      <c r="G63" s="9" t="s">
        <v>641</v>
      </c>
      <c r="H63" s="9">
        <f t="shared" si="9"/>
        <v>1602</v>
      </c>
      <c r="I63" s="9">
        <f t="shared" si="10"/>
        <v>1335</v>
      </c>
      <c r="J63" s="58">
        <v>44383.0</v>
      </c>
      <c r="K63" s="9" t="s">
        <v>477</v>
      </c>
      <c r="L63" s="9"/>
      <c r="M63" s="9" t="s">
        <v>478</v>
      </c>
      <c r="N63" s="9" t="s">
        <v>78</v>
      </c>
    </row>
    <row r="64" ht="14.25" customHeight="1">
      <c r="A64" s="9">
        <f t="shared" si="11"/>
        <v>0</v>
      </c>
      <c r="B64" s="9" t="s">
        <v>452</v>
      </c>
      <c r="C64" s="9">
        <v>3.0</v>
      </c>
      <c r="D64" s="9">
        <v>3.0</v>
      </c>
      <c r="E64" s="9">
        <v>3.0</v>
      </c>
      <c r="F64" s="9"/>
      <c r="G64" s="9" t="s">
        <v>873</v>
      </c>
      <c r="H64" s="9">
        <f t="shared" si="9"/>
        <v>0</v>
      </c>
      <c r="I64" s="9">
        <f t="shared" si="10"/>
        <v>0</v>
      </c>
      <c r="J64" s="58">
        <v>44389.0</v>
      </c>
      <c r="K64" s="9" t="s">
        <v>202</v>
      </c>
      <c r="L64" s="9"/>
      <c r="M64" s="9" t="s">
        <v>110</v>
      </c>
      <c r="N64" s="9" t="s">
        <v>563</v>
      </c>
    </row>
    <row r="65" ht="14.25" customHeight="1">
      <c r="A65" s="9">
        <f t="shared" si="11"/>
        <v>55</v>
      </c>
      <c r="B65" s="9" t="s">
        <v>572</v>
      </c>
      <c r="C65" s="9">
        <v>6.0</v>
      </c>
      <c r="D65" s="9">
        <v>6.0</v>
      </c>
      <c r="E65" s="9"/>
      <c r="F65" s="9"/>
      <c r="G65" s="9" t="s">
        <v>641</v>
      </c>
      <c r="H65" s="9">
        <f t="shared" si="9"/>
        <v>204</v>
      </c>
      <c r="I65" s="9">
        <f t="shared" si="10"/>
        <v>170</v>
      </c>
      <c r="J65" s="58">
        <v>44397.0</v>
      </c>
      <c r="K65" s="9"/>
      <c r="L65" s="9" t="s">
        <v>453</v>
      </c>
      <c r="N65" s="9" t="s">
        <v>874</v>
      </c>
    </row>
    <row r="66" ht="14.25" customHeight="1">
      <c r="A66" s="9">
        <f t="shared" si="11"/>
        <v>56</v>
      </c>
      <c r="B66" s="9" t="s">
        <v>875</v>
      </c>
      <c r="C66" s="9">
        <v>24.0</v>
      </c>
      <c r="E66" s="9"/>
      <c r="F66" s="9"/>
      <c r="G66" s="9" t="s">
        <v>641</v>
      </c>
      <c r="H66" s="9">
        <f t="shared" si="9"/>
        <v>384</v>
      </c>
      <c r="I66" s="9">
        <f t="shared" si="10"/>
        <v>320</v>
      </c>
      <c r="J66" s="58">
        <v>44397.0</v>
      </c>
      <c r="K66" s="9" t="s">
        <v>460</v>
      </c>
      <c r="L66" s="9" t="s">
        <v>453</v>
      </c>
      <c r="M66" s="9" t="s">
        <v>493</v>
      </c>
      <c r="N66" s="9" t="s">
        <v>874</v>
      </c>
    </row>
    <row r="67" ht="14.25" customHeight="1">
      <c r="A67" s="9">
        <f t="shared" si="11"/>
        <v>57</v>
      </c>
      <c r="B67" s="9" t="s">
        <v>488</v>
      </c>
      <c r="C67" s="9">
        <v>6.0</v>
      </c>
      <c r="E67" s="9"/>
      <c r="F67" s="9"/>
      <c r="G67" s="9" t="s">
        <v>814</v>
      </c>
      <c r="H67" s="9">
        <f t="shared" si="9"/>
        <v>96</v>
      </c>
      <c r="I67" s="9">
        <f t="shared" si="10"/>
        <v>80</v>
      </c>
      <c r="J67" s="58">
        <v>44410.0</v>
      </c>
      <c r="K67" s="9" t="s">
        <v>460</v>
      </c>
      <c r="L67" s="9" t="s">
        <v>453</v>
      </c>
      <c r="M67" s="9" t="s">
        <v>516</v>
      </c>
      <c r="N67" s="9" t="s">
        <v>876</v>
      </c>
    </row>
    <row r="68" ht="14.25" customHeight="1">
      <c r="A68" s="9">
        <f t="shared" si="11"/>
        <v>58</v>
      </c>
      <c r="B68" s="9" t="s">
        <v>599</v>
      </c>
      <c r="D68" s="9">
        <v>6.0</v>
      </c>
      <c r="E68" s="9"/>
      <c r="F68" s="9"/>
      <c r="G68" s="9" t="s">
        <v>641</v>
      </c>
      <c r="H68" s="9">
        <f t="shared" si="9"/>
        <v>108</v>
      </c>
      <c r="I68" s="9">
        <f t="shared" si="10"/>
        <v>90</v>
      </c>
      <c r="J68" s="58">
        <v>44413.0</v>
      </c>
      <c r="K68" s="9" t="s">
        <v>460</v>
      </c>
      <c r="L68" s="9" t="s">
        <v>453</v>
      </c>
      <c r="M68" s="9" t="s">
        <v>493</v>
      </c>
      <c r="N68" s="9" t="s">
        <v>641</v>
      </c>
    </row>
    <row r="69" ht="14.25" customHeight="1">
      <c r="A69" s="9">
        <f t="shared" si="11"/>
        <v>0</v>
      </c>
      <c r="B69" s="9"/>
      <c r="E69" s="9"/>
      <c r="F69" s="9"/>
      <c r="G69" s="9"/>
      <c r="H69" s="9">
        <f t="shared" si="9"/>
        <v>0</v>
      </c>
      <c r="I69" s="9"/>
      <c r="J69" s="58"/>
      <c r="K69" s="9" t="s">
        <v>202</v>
      </c>
      <c r="L69" s="9"/>
    </row>
    <row r="70" ht="14.25" customHeight="1">
      <c r="A70" s="9">
        <f t="shared" si="11"/>
        <v>59</v>
      </c>
      <c r="B70" s="9" t="s">
        <v>463</v>
      </c>
      <c r="E70" s="9"/>
      <c r="F70" s="9"/>
      <c r="G70" s="9">
        <v>0.0</v>
      </c>
      <c r="H70" s="9">
        <f t="shared" si="9"/>
        <v>0</v>
      </c>
      <c r="I70" s="9">
        <f t="shared" ref="I70:I79" si="12">H70/1.2</f>
        <v>0</v>
      </c>
      <c r="J70" s="58">
        <v>44420.0</v>
      </c>
      <c r="K70" s="9"/>
      <c r="L70" s="9" t="s">
        <v>453</v>
      </c>
      <c r="M70" s="9" t="s">
        <v>640</v>
      </c>
      <c r="N70" s="9" t="s">
        <v>877</v>
      </c>
    </row>
    <row r="71" ht="14.25" customHeight="1">
      <c r="A71" s="9">
        <f t="shared" si="11"/>
        <v>60</v>
      </c>
      <c r="B71" s="9" t="s">
        <v>481</v>
      </c>
      <c r="C71" s="9">
        <v>300.0</v>
      </c>
      <c r="E71" s="9"/>
      <c r="F71" s="9"/>
      <c r="G71" s="9" t="s">
        <v>814</v>
      </c>
      <c r="H71" s="9">
        <f t="shared" si="9"/>
        <v>4800</v>
      </c>
      <c r="I71" s="9">
        <f t="shared" si="12"/>
        <v>4000</v>
      </c>
      <c r="J71" s="58">
        <v>44420.0</v>
      </c>
      <c r="K71" s="9" t="s">
        <v>460</v>
      </c>
      <c r="L71" s="9" t="s">
        <v>453</v>
      </c>
      <c r="M71" s="9" t="s">
        <v>640</v>
      </c>
      <c r="N71" s="9" t="s">
        <v>878</v>
      </c>
    </row>
    <row r="72" ht="14.25" customHeight="1">
      <c r="A72" s="9">
        <f t="shared" si="11"/>
        <v>61</v>
      </c>
      <c r="B72" s="9" t="s">
        <v>879</v>
      </c>
      <c r="C72" s="9">
        <v>2.0</v>
      </c>
      <c r="D72" s="9">
        <v>2.0</v>
      </c>
      <c r="E72" s="9">
        <v>2.0</v>
      </c>
      <c r="F72" s="9"/>
      <c r="G72" s="9" t="s">
        <v>814</v>
      </c>
      <c r="H72" s="9">
        <f t="shared" si="9"/>
        <v>103</v>
      </c>
      <c r="I72" s="9">
        <f t="shared" si="12"/>
        <v>85.83333333</v>
      </c>
      <c r="J72" s="58">
        <v>44420.0</v>
      </c>
      <c r="K72" s="9" t="s">
        <v>460</v>
      </c>
      <c r="L72" s="9" t="s">
        <v>453</v>
      </c>
      <c r="M72" s="9" t="s">
        <v>594</v>
      </c>
    </row>
    <row r="73" ht="14.25" customHeight="1">
      <c r="A73" s="9">
        <f t="shared" si="11"/>
        <v>62</v>
      </c>
      <c r="B73" s="9" t="s">
        <v>880</v>
      </c>
      <c r="C73" s="9">
        <v>2.0</v>
      </c>
      <c r="D73" s="9">
        <v>2.0</v>
      </c>
      <c r="E73" s="9">
        <v>8.0</v>
      </c>
      <c r="F73" s="9"/>
      <c r="G73" s="9" t="s">
        <v>814</v>
      </c>
      <c r="H73" s="9">
        <f t="shared" si="9"/>
        <v>208</v>
      </c>
      <c r="I73" s="9">
        <f t="shared" si="12"/>
        <v>173.3333333</v>
      </c>
      <c r="J73" s="58">
        <v>44420.0</v>
      </c>
      <c r="K73" s="9" t="s">
        <v>460</v>
      </c>
      <c r="L73" s="9" t="s">
        <v>453</v>
      </c>
      <c r="M73" s="9" t="s">
        <v>881</v>
      </c>
    </row>
    <row r="74" ht="14.25" customHeight="1">
      <c r="A74" s="9">
        <f t="shared" si="11"/>
        <v>63</v>
      </c>
      <c r="B74" s="9" t="s">
        <v>882</v>
      </c>
      <c r="C74" s="9">
        <v>6.0</v>
      </c>
      <c r="D74" s="9">
        <v>12.0</v>
      </c>
      <c r="E74" s="9">
        <v>6.0</v>
      </c>
      <c r="F74" s="9"/>
      <c r="G74" s="9" t="s">
        <v>814</v>
      </c>
      <c r="H74" s="9">
        <f t="shared" si="9"/>
        <v>417</v>
      </c>
      <c r="I74" s="9">
        <f t="shared" si="12"/>
        <v>347.5</v>
      </c>
      <c r="J74" s="58">
        <v>44420.0</v>
      </c>
      <c r="K74" s="9" t="s">
        <v>460</v>
      </c>
      <c r="L74" s="9" t="s">
        <v>453</v>
      </c>
      <c r="M74" s="9" t="s">
        <v>493</v>
      </c>
      <c r="N74" s="9" t="s">
        <v>883</v>
      </c>
    </row>
    <row r="75" ht="14.25" customHeight="1">
      <c r="A75" s="9">
        <f t="shared" si="11"/>
        <v>64</v>
      </c>
      <c r="B75" s="9" t="s">
        <v>566</v>
      </c>
      <c r="C75" s="9">
        <v>30.0</v>
      </c>
      <c r="E75" s="9"/>
      <c r="F75" s="9"/>
      <c r="G75" s="9" t="s">
        <v>814</v>
      </c>
      <c r="H75" s="9">
        <f t="shared" si="9"/>
        <v>480</v>
      </c>
      <c r="I75" s="9">
        <f t="shared" si="12"/>
        <v>400</v>
      </c>
      <c r="J75" s="58">
        <v>44420.0</v>
      </c>
      <c r="K75" s="9" t="s">
        <v>477</v>
      </c>
      <c r="L75" s="9" t="s">
        <v>453</v>
      </c>
      <c r="M75" s="9" t="s">
        <v>884</v>
      </c>
      <c r="N75" s="9" t="s">
        <v>885</v>
      </c>
    </row>
    <row r="76" ht="14.25" customHeight="1">
      <c r="A76" s="9">
        <f t="shared" si="11"/>
        <v>65</v>
      </c>
      <c r="B76" s="9" t="s">
        <v>886</v>
      </c>
      <c r="C76" s="9">
        <v>6.0</v>
      </c>
      <c r="E76" s="9"/>
      <c r="F76" s="9"/>
      <c r="G76" s="9" t="s">
        <v>814</v>
      </c>
      <c r="H76" s="9">
        <f t="shared" si="9"/>
        <v>96</v>
      </c>
      <c r="I76" s="9">
        <f t="shared" si="12"/>
        <v>80</v>
      </c>
      <c r="J76" s="58">
        <v>44421.0</v>
      </c>
      <c r="K76" s="9" t="s">
        <v>460</v>
      </c>
      <c r="L76" s="9" t="s">
        <v>453</v>
      </c>
    </row>
    <row r="77" ht="14.25" customHeight="1">
      <c r="A77" s="9">
        <f t="shared" si="11"/>
        <v>66</v>
      </c>
      <c r="B77" s="9" t="s">
        <v>713</v>
      </c>
      <c r="C77" s="9">
        <v>6.0</v>
      </c>
      <c r="E77" s="9"/>
      <c r="F77" s="9"/>
      <c r="G77" s="9" t="s">
        <v>887</v>
      </c>
      <c r="H77" s="9">
        <f t="shared" si="9"/>
        <v>96</v>
      </c>
      <c r="I77" s="9">
        <f t="shared" si="12"/>
        <v>80</v>
      </c>
      <c r="J77" s="58">
        <v>44421.0</v>
      </c>
      <c r="K77" s="9" t="s">
        <v>477</v>
      </c>
      <c r="L77" s="9" t="s">
        <v>453</v>
      </c>
    </row>
    <row r="78" ht="14.25" customHeight="1">
      <c r="A78" s="9">
        <f t="shared" si="11"/>
        <v>67</v>
      </c>
      <c r="B78" s="9" t="s">
        <v>888</v>
      </c>
      <c r="C78" s="9">
        <v>1.0</v>
      </c>
      <c r="D78" s="9">
        <v>1.0</v>
      </c>
      <c r="E78" s="9">
        <v>1.0</v>
      </c>
      <c r="F78" s="9"/>
      <c r="G78" s="9" t="s">
        <v>814</v>
      </c>
      <c r="H78" s="9">
        <f t="shared" si="9"/>
        <v>51.5</v>
      </c>
      <c r="I78" s="9">
        <f t="shared" si="12"/>
        <v>42.91666667</v>
      </c>
      <c r="J78" s="58">
        <v>44421.0</v>
      </c>
      <c r="K78" s="9" t="s">
        <v>460</v>
      </c>
      <c r="L78" s="9" t="s">
        <v>453</v>
      </c>
      <c r="M78" s="9" t="s">
        <v>489</v>
      </c>
      <c r="N78" s="9" t="s">
        <v>889</v>
      </c>
    </row>
    <row r="79" ht="14.25" customHeight="1">
      <c r="A79" s="9">
        <f t="shared" si="11"/>
        <v>68</v>
      </c>
      <c r="B79" s="9" t="s">
        <v>450</v>
      </c>
      <c r="C79" s="9">
        <v>18.0</v>
      </c>
      <c r="D79" s="9">
        <v>12.0</v>
      </c>
      <c r="E79" s="9">
        <v>6.0</v>
      </c>
      <c r="F79" s="9"/>
      <c r="G79" s="9" t="s">
        <v>890</v>
      </c>
      <c r="H79" s="9">
        <f t="shared" si="9"/>
        <v>609</v>
      </c>
      <c r="I79" s="9">
        <f t="shared" si="12"/>
        <v>507.5</v>
      </c>
      <c r="J79" s="58">
        <v>44423.0</v>
      </c>
      <c r="K79" s="9"/>
      <c r="L79" s="9" t="s">
        <v>453</v>
      </c>
      <c r="N79" s="9" t="s">
        <v>891</v>
      </c>
    </row>
    <row r="80" ht="14.25" customHeight="1">
      <c r="A80" s="9">
        <f t="shared" si="11"/>
        <v>69</v>
      </c>
      <c r="B80" s="9" t="s">
        <v>452</v>
      </c>
      <c r="C80" s="9">
        <v>1.0</v>
      </c>
      <c r="D80" s="9">
        <v>2.0</v>
      </c>
      <c r="E80" s="9">
        <v>7.0</v>
      </c>
      <c r="F80" s="9">
        <v>1.0</v>
      </c>
      <c r="G80" s="9" t="s">
        <v>110</v>
      </c>
      <c r="H80" s="9">
        <v>0.0</v>
      </c>
      <c r="I80" s="9">
        <v>0.0</v>
      </c>
      <c r="K80" s="9" t="s">
        <v>477</v>
      </c>
      <c r="L80" s="9"/>
      <c r="M80" s="9">
        <v>0.0</v>
      </c>
      <c r="N80" s="9" t="s">
        <v>871</v>
      </c>
    </row>
    <row r="81" ht="14.25" customHeight="1">
      <c r="A81" s="9">
        <f t="shared" si="11"/>
        <v>70</v>
      </c>
      <c r="B81" s="9" t="s">
        <v>609</v>
      </c>
      <c r="C81" s="9">
        <v>3.0</v>
      </c>
      <c r="E81" s="9"/>
      <c r="F81" s="9"/>
      <c r="G81" s="9" t="s">
        <v>810</v>
      </c>
      <c r="H81" s="9">
        <f t="shared" ref="H81:H87" si="13">IF(K81="Cadeau",0,C81*$R$4+D81*$R$5+E81*$R$6+F81*$R$7)</f>
        <v>48</v>
      </c>
      <c r="I81" s="9">
        <f t="shared" ref="I81:I99" si="14">H81/1.2</f>
        <v>40</v>
      </c>
      <c r="J81" s="58">
        <v>44421.0</v>
      </c>
      <c r="K81" s="9" t="s">
        <v>460</v>
      </c>
      <c r="L81" s="9" t="s">
        <v>453</v>
      </c>
      <c r="M81" s="9" t="s">
        <v>493</v>
      </c>
      <c r="N81" s="9" t="s">
        <v>892</v>
      </c>
    </row>
    <row r="82" ht="14.25" customHeight="1">
      <c r="A82" s="9">
        <f t="shared" si="11"/>
        <v>71</v>
      </c>
      <c r="B82" s="9" t="s">
        <v>589</v>
      </c>
      <c r="C82" s="9">
        <v>5.0</v>
      </c>
      <c r="E82" s="9">
        <v>2.0</v>
      </c>
      <c r="F82" s="9"/>
      <c r="G82" s="9" t="s">
        <v>814</v>
      </c>
      <c r="H82" s="9">
        <f t="shared" si="13"/>
        <v>115</v>
      </c>
      <c r="I82" s="9">
        <f t="shared" si="14"/>
        <v>95.83333333</v>
      </c>
      <c r="J82" s="58">
        <v>44439.0</v>
      </c>
      <c r="K82" s="9" t="s">
        <v>460</v>
      </c>
      <c r="L82" s="9" t="s">
        <v>453</v>
      </c>
      <c r="M82" s="9" t="s">
        <v>555</v>
      </c>
      <c r="N82" s="9" t="s">
        <v>893</v>
      </c>
    </row>
    <row r="83" ht="14.25" customHeight="1">
      <c r="A83" s="9">
        <f t="shared" si="11"/>
        <v>72</v>
      </c>
      <c r="B83" s="9" t="s">
        <v>894</v>
      </c>
      <c r="C83" s="9">
        <v>6.0</v>
      </c>
      <c r="E83" s="9"/>
      <c r="F83" s="9"/>
      <c r="G83" s="9" t="s">
        <v>814</v>
      </c>
      <c r="H83" s="9">
        <f t="shared" si="13"/>
        <v>96</v>
      </c>
      <c r="I83" s="9">
        <f t="shared" si="14"/>
        <v>80</v>
      </c>
      <c r="J83" s="58">
        <v>44435.0</v>
      </c>
      <c r="K83" s="9" t="s">
        <v>460</v>
      </c>
      <c r="L83" s="9" t="s">
        <v>453</v>
      </c>
      <c r="M83" s="9" t="s">
        <v>846</v>
      </c>
      <c r="N83" s="9" t="s">
        <v>893</v>
      </c>
    </row>
    <row r="84" ht="14.25" customHeight="1">
      <c r="A84" s="9">
        <f t="shared" si="11"/>
        <v>73</v>
      </c>
      <c r="B84" s="9" t="s">
        <v>895</v>
      </c>
      <c r="C84" s="9">
        <v>6.0</v>
      </c>
      <c r="E84" s="9"/>
      <c r="F84" s="9"/>
      <c r="G84" s="9" t="s">
        <v>814</v>
      </c>
      <c r="H84" s="9">
        <f t="shared" si="13"/>
        <v>96</v>
      </c>
      <c r="I84" s="9">
        <f t="shared" si="14"/>
        <v>80</v>
      </c>
      <c r="J84" s="58">
        <v>44435.0</v>
      </c>
      <c r="K84" s="9" t="s">
        <v>460</v>
      </c>
      <c r="L84" s="9" t="s">
        <v>453</v>
      </c>
      <c r="M84" s="9" t="s">
        <v>784</v>
      </c>
      <c r="N84" s="9" t="s">
        <v>893</v>
      </c>
    </row>
    <row r="85" ht="14.25" customHeight="1">
      <c r="A85" s="9">
        <f t="shared" si="11"/>
        <v>74</v>
      </c>
      <c r="B85" s="9" t="s">
        <v>896</v>
      </c>
      <c r="C85" s="9">
        <v>6.0</v>
      </c>
      <c r="E85" s="9"/>
      <c r="F85" s="9"/>
      <c r="G85" s="9" t="s">
        <v>814</v>
      </c>
      <c r="H85" s="9">
        <f t="shared" si="13"/>
        <v>96</v>
      </c>
      <c r="I85" s="9">
        <f t="shared" si="14"/>
        <v>80</v>
      </c>
      <c r="J85" s="58">
        <v>44435.0</v>
      </c>
      <c r="K85" s="9" t="s">
        <v>460</v>
      </c>
      <c r="L85" s="9" t="s">
        <v>453</v>
      </c>
      <c r="M85" s="9" t="s">
        <v>784</v>
      </c>
      <c r="N85" s="9" t="s">
        <v>893</v>
      </c>
    </row>
    <row r="86" ht="14.25" customHeight="1">
      <c r="A86" s="9">
        <f t="shared" si="11"/>
        <v>75</v>
      </c>
      <c r="B86" s="9" t="s">
        <v>897</v>
      </c>
      <c r="C86" s="9">
        <v>6.0</v>
      </c>
      <c r="E86" s="9"/>
      <c r="F86" s="9"/>
      <c r="G86" s="9" t="s">
        <v>814</v>
      </c>
      <c r="H86" s="9">
        <f t="shared" si="13"/>
        <v>96</v>
      </c>
      <c r="I86" s="9">
        <f t="shared" si="14"/>
        <v>80</v>
      </c>
      <c r="J86" s="58">
        <v>44435.0</v>
      </c>
      <c r="K86" s="9" t="s">
        <v>460</v>
      </c>
      <c r="L86" s="9" t="s">
        <v>453</v>
      </c>
      <c r="M86" s="9" t="s">
        <v>784</v>
      </c>
      <c r="N86" s="9" t="s">
        <v>893</v>
      </c>
    </row>
    <row r="87" ht="14.25" customHeight="1">
      <c r="A87" s="9">
        <f t="shared" si="11"/>
        <v>76</v>
      </c>
      <c r="B87" s="9" t="s">
        <v>476</v>
      </c>
      <c r="C87" s="9">
        <v>6.0</v>
      </c>
      <c r="E87" s="9">
        <v>6.0</v>
      </c>
      <c r="F87" s="9"/>
      <c r="G87" s="9" t="s">
        <v>623</v>
      </c>
      <c r="H87" s="9">
        <f t="shared" si="13"/>
        <v>201</v>
      </c>
      <c r="I87" s="9">
        <f t="shared" si="14"/>
        <v>167.5</v>
      </c>
      <c r="J87" s="58">
        <v>44439.0</v>
      </c>
      <c r="K87" s="9" t="s">
        <v>460</v>
      </c>
      <c r="L87" s="9" t="s">
        <v>453</v>
      </c>
      <c r="M87" s="9" t="s">
        <v>493</v>
      </c>
      <c r="N87" s="9" t="s">
        <v>898</v>
      </c>
    </row>
    <row r="88" ht="14.25" customHeight="1">
      <c r="A88" s="9">
        <f t="shared" si="11"/>
        <v>77</v>
      </c>
      <c r="B88" s="9" t="s">
        <v>463</v>
      </c>
      <c r="C88" s="9">
        <v>198.0</v>
      </c>
      <c r="E88" s="9"/>
      <c r="F88" s="9"/>
      <c r="G88" s="9">
        <v>2.0</v>
      </c>
      <c r="H88" s="9">
        <f>IF(K88="Cadeau",0,C88*$R$4+D88*$R$5+E88*$R$6+F88*$R$7)-G88*SUM(C88:F88)</f>
        <v>2772</v>
      </c>
      <c r="I88" s="9">
        <f t="shared" si="14"/>
        <v>2310</v>
      </c>
      <c r="J88" s="58">
        <v>44423.0</v>
      </c>
      <c r="K88" s="9" t="s">
        <v>460</v>
      </c>
      <c r="L88" s="9" t="s">
        <v>453</v>
      </c>
      <c r="M88" s="9" t="s">
        <v>594</v>
      </c>
      <c r="N88" s="9" t="s">
        <v>899</v>
      </c>
    </row>
    <row r="89" ht="14.25" customHeight="1">
      <c r="A89" s="9">
        <f t="shared" si="11"/>
        <v>0</v>
      </c>
      <c r="B89" s="9" t="s">
        <v>900</v>
      </c>
      <c r="C89" s="9">
        <v>2.0</v>
      </c>
      <c r="E89" s="9"/>
      <c r="F89" s="9"/>
      <c r="G89" s="9" t="s">
        <v>831</v>
      </c>
      <c r="H89" s="9">
        <v>0.0</v>
      </c>
      <c r="I89" s="9">
        <f t="shared" si="14"/>
        <v>0</v>
      </c>
      <c r="K89" s="9" t="s">
        <v>202</v>
      </c>
      <c r="L89" s="9" t="s">
        <v>453</v>
      </c>
      <c r="M89" s="9" t="s">
        <v>111</v>
      </c>
      <c r="N89" s="9" t="s">
        <v>111</v>
      </c>
    </row>
    <row r="90" ht="14.25" customHeight="1">
      <c r="A90" s="9">
        <f t="shared" si="11"/>
        <v>78</v>
      </c>
      <c r="B90" s="9" t="s">
        <v>509</v>
      </c>
      <c r="C90" s="9">
        <v>6.0</v>
      </c>
      <c r="E90" s="9"/>
      <c r="F90" s="9"/>
      <c r="G90" s="9" t="s">
        <v>641</v>
      </c>
      <c r="H90" s="9">
        <f t="shared" ref="H90:H94" si="15">IF(K90="Cadeau",0,C90*$R$4+D90*$R$5+E90*$R$6+F90*$R$7)</f>
        <v>96</v>
      </c>
      <c r="I90" s="9">
        <f t="shared" si="14"/>
        <v>80</v>
      </c>
      <c r="J90" s="58">
        <v>44462.0</v>
      </c>
      <c r="K90" s="9"/>
      <c r="L90" s="9" t="s">
        <v>453</v>
      </c>
      <c r="N90" s="9" t="s">
        <v>901</v>
      </c>
    </row>
    <row r="91" ht="14.25" customHeight="1">
      <c r="A91" s="9">
        <f t="shared" si="11"/>
        <v>79</v>
      </c>
      <c r="B91" s="9" t="s">
        <v>561</v>
      </c>
      <c r="C91" s="9">
        <v>24.0</v>
      </c>
      <c r="D91" s="9">
        <v>10.0</v>
      </c>
      <c r="E91" s="9">
        <v>48.0</v>
      </c>
      <c r="F91" s="9"/>
      <c r="G91" s="9" t="s">
        <v>902</v>
      </c>
      <c r="H91" s="9">
        <f t="shared" si="15"/>
        <v>1404</v>
      </c>
      <c r="I91" s="9">
        <f t="shared" si="14"/>
        <v>1170</v>
      </c>
      <c r="J91" s="58">
        <v>44470.0</v>
      </c>
      <c r="K91" s="9" t="s">
        <v>460</v>
      </c>
      <c r="L91" s="9" t="s">
        <v>453</v>
      </c>
      <c r="M91" s="9" t="s">
        <v>493</v>
      </c>
      <c r="N91" s="9" t="s">
        <v>903</v>
      </c>
    </row>
    <row r="92" ht="14.25" customHeight="1">
      <c r="A92" s="9">
        <f t="shared" si="11"/>
        <v>0</v>
      </c>
      <c r="B92" s="9" t="s">
        <v>568</v>
      </c>
      <c r="C92" s="9">
        <v>6.0</v>
      </c>
      <c r="E92" s="9"/>
      <c r="F92" s="9"/>
      <c r="G92" s="9" t="s">
        <v>904</v>
      </c>
      <c r="H92" s="9">
        <f t="shared" si="15"/>
        <v>0</v>
      </c>
      <c r="I92" s="9">
        <f t="shared" si="14"/>
        <v>0</v>
      </c>
      <c r="J92" s="58">
        <v>44465.0</v>
      </c>
      <c r="K92" s="9" t="s">
        <v>202</v>
      </c>
      <c r="L92" s="9"/>
      <c r="M92" s="9" t="s">
        <v>905</v>
      </c>
      <c r="N92" s="9" t="s">
        <v>618</v>
      </c>
    </row>
    <row r="93" ht="14.25" customHeight="1">
      <c r="A93" s="9">
        <f t="shared" si="11"/>
        <v>80</v>
      </c>
      <c r="B93" s="9" t="s">
        <v>450</v>
      </c>
      <c r="C93" s="9">
        <v>12.0</v>
      </c>
      <c r="E93" s="9"/>
      <c r="F93" s="9"/>
      <c r="G93" s="9" t="s">
        <v>641</v>
      </c>
      <c r="H93" s="9">
        <f t="shared" si="15"/>
        <v>192</v>
      </c>
      <c r="I93" s="9">
        <f t="shared" si="14"/>
        <v>160</v>
      </c>
      <c r="J93" s="58">
        <v>44472.0</v>
      </c>
      <c r="K93" s="9" t="s">
        <v>477</v>
      </c>
      <c r="L93" s="9" t="s">
        <v>453</v>
      </c>
      <c r="N93" s="9" t="s">
        <v>641</v>
      </c>
    </row>
    <row r="94" ht="14.25" customHeight="1">
      <c r="A94" s="9">
        <f t="shared" si="11"/>
        <v>81</v>
      </c>
      <c r="B94" s="9" t="s">
        <v>572</v>
      </c>
      <c r="C94" s="9">
        <v>12.0</v>
      </c>
      <c r="D94" s="9">
        <v>6.0</v>
      </c>
      <c r="E94" s="9"/>
      <c r="F94" s="9"/>
      <c r="G94" s="9" t="s">
        <v>641</v>
      </c>
      <c r="H94" s="9">
        <f t="shared" si="15"/>
        <v>300</v>
      </c>
      <c r="I94" s="9">
        <f t="shared" si="14"/>
        <v>250</v>
      </c>
      <c r="J94" s="59">
        <v>44485.0</v>
      </c>
      <c r="K94" s="9" t="s">
        <v>460</v>
      </c>
      <c r="L94" s="9" t="s">
        <v>453</v>
      </c>
      <c r="M94" s="9" t="s">
        <v>906</v>
      </c>
      <c r="N94" s="9" t="s">
        <v>641</v>
      </c>
    </row>
    <row r="95" ht="14.25" customHeight="1">
      <c r="A95" s="9">
        <f t="shared" si="11"/>
        <v>0</v>
      </c>
      <c r="B95" s="9" t="s">
        <v>452</v>
      </c>
      <c r="C95" s="9">
        <v>3.0</v>
      </c>
      <c r="D95" s="9">
        <v>3.0</v>
      </c>
      <c r="E95" s="9">
        <v>3.0</v>
      </c>
      <c r="F95" s="9"/>
      <c r="G95" s="9" t="s">
        <v>457</v>
      </c>
      <c r="H95" s="9">
        <v>0.0</v>
      </c>
      <c r="I95" s="9">
        <f t="shared" si="14"/>
        <v>0</v>
      </c>
      <c r="J95" s="59">
        <v>44484.0</v>
      </c>
      <c r="K95" s="9" t="s">
        <v>202</v>
      </c>
      <c r="L95" s="9" t="s">
        <v>453</v>
      </c>
      <c r="M95" s="9" t="s">
        <v>110</v>
      </c>
      <c r="N95" s="9" t="s">
        <v>563</v>
      </c>
    </row>
    <row r="96" ht="14.25" customHeight="1">
      <c r="A96" s="9">
        <f t="shared" si="11"/>
        <v>82</v>
      </c>
      <c r="B96" s="9" t="s">
        <v>900</v>
      </c>
      <c r="C96" s="9">
        <v>12.0</v>
      </c>
      <c r="E96" s="9"/>
      <c r="F96" s="9"/>
      <c r="G96" s="9" t="s">
        <v>907</v>
      </c>
      <c r="H96" s="9">
        <f t="shared" ref="H96:H99" si="16">IF(K96="Cadeau",0,C96*$R$4+D96*$R$5+E96*$R$6+F96*$R$7)</f>
        <v>192</v>
      </c>
      <c r="I96" s="9">
        <f t="shared" si="14"/>
        <v>160</v>
      </c>
      <c r="J96" s="59">
        <v>44486.0</v>
      </c>
      <c r="K96" s="9" t="s">
        <v>460</v>
      </c>
      <c r="L96" s="9" t="s">
        <v>814</v>
      </c>
      <c r="M96" s="9" t="s">
        <v>908</v>
      </c>
      <c r="N96" s="9" t="s">
        <v>909</v>
      </c>
    </row>
    <row r="97" ht="14.25" customHeight="1">
      <c r="A97" s="9">
        <f t="shared" si="11"/>
        <v>83</v>
      </c>
      <c r="B97" s="9" t="s">
        <v>785</v>
      </c>
      <c r="C97" s="9">
        <v>36.0</v>
      </c>
      <c r="E97" s="9"/>
      <c r="F97" s="9"/>
      <c r="G97" s="9" t="s">
        <v>907</v>
      </c>
      <c r="H97" s="9">
        <f t="shared" si="16"/>
        <v>576</v>
      </c>
      <c r="I97" s="9">
        <f t="shared" si="14"/>
        <v>480</v>
      </c>
      <c r="J97" s="59">
        <v>44487.0</v>
      </c>
      <c r="K97" s="9" t="s">
        <v>460</v>
      </c>
      <c r="L97" s="9" t="s">
        <v>453</v>
      </c>
      <c r="M97" s="9" t="s">
        <v>908</v>
      </c>
      <c r="N97" s="9" t="s">
        <v>910</v>
      </c>
    </row>
    <row r="98" ht="14.25" customHeight="1">
      <c r="A98" s="9">
        <f t="shared" si="11"/>
        <v>84</v>
      </c>
      <c r="B98" s="9" t="s">
        <v>911</v>
      </c>
      <c r="C98" s="9">
        <v>3.0</v>
      </c>
      <c r="D98" s="9">
        <v>1.0</v>
      </c>
      <c r="E98" s="9"/>
      <c r="F98" s="9"/>
      <c r="G98" s="9" t="s">
        <v>753</v>
      </c>
      <c r="H98" s="9">
        <f t="shared" si="16"/>
        <v>66</v>
      </c>
      <c r="I98" s="9">
        <f t="shared" si="14"/>
        <v>55</v>
      </c>
      <c r="J98" s="58">
        <v>44449.0</v>
      </c>
      <c r="K98" s="9" t="s">
        <v>477</v>
      </c>
      <c r="L98" s="9" t="s">
        <v>453</v>
      </c>
      <c r="M98" s="9" t="s">
        <v>912</v>
      </c>
      <c r="N98" s="9" t="s">
        <v>913</v>
      </c>
    </row>
    <row r="99" ht="14.25" customHeight="1">
      <c r="A99" s="9">
        <f t="shared" si="11"/>
        <v>85</v>
      </c>
      <c r="B99" s="9" t="s">
        <v>476</v>
      </c>
      <c r="C99" s="9">
        <v>6.0</v>
      </c>
      <c r="E99" s="9"/>
      <c r="F99" s="9"/>
      <c r="G99" s="9" t="s">
        <v>623</v>
      </c>
      <c r="H99" s="9">
        <f t="shared" si="16"/>
        <v>96</v>
      </c>
      <c r="I99" s="9">
        <f t="shared" si="14"/>
        <v>80</v>
      </c>
      <c r="J99" s="58">
        <v>44470.0</v>
      </c>
      <c r="K99" s="9" t="s">
        <v>460</v>
      </c>
      <c r="L99" s="9" t="s">
        <v>453</v>
      </c>
      <c r="M99" s="9" t="s">
        <v>493</v>
      </c>
      <c r="N99" s="9" t="s">
        <v>914</v>
      </c>
    </row>
    <row r="100" ht="14.25" customHeight="1">
      <c r="A100" s="9">
        <f t="shared" si="11"/>
        <v>0</v>
      </c>
      <c r="B100" s="9" t="s">
        <v>452</v>
      </c>
      <c r="C100" s="9">
        <v>2.0</v>
      </c>
      <c r="E100" s="9">
        <v>2.0</v>
      </c>
      <c r="F100" s="9"/>
      <c r="G100" s="9" t="s">
        <v>454</v>
      </c>
      <c r="H100" s="9">
        <v>0.0</v>
      </c>
      <c r="I100" s="9">
        <v>0.0</v>
      </c>
      <c r="J100" s="59">
        <v>44492.0</v>
      </c>
      <c r="K100" s="9" t="s">
        <v>202</v>
      </c>
      <c r="L100" s="9" t="s">
        <v>453</v>
      </c>
      <c r="M100" s="9" t="s">
        <v>110</v>
      </c>
      <c r="N100" s="9" t="s">
        <v>915</v>
      </c>
    </row>
    <row r="101" ht="14.25" customHeight="1">
      <c r="A101" s="9" t="s">
        <v>598</v>
      </c>
      <c r="B101" s="9" t="s">
        <v>450</v>
      </c>
      <c r="C101" s="9">
        <v>18.0</v>
      </c>
      <c r="E101" s="9"/>
      <c r="F101" s="9"/>
      <c r="G101" s="9" t="s">
        <v>641</v>
      </c>
      <c r="H101" s="9">
        <f t="shared" ref="H101:H110" si="17">IF(K101="Cadeau",0,C101*$R$4+D101*$R$5+E101*$R$6+F101*$R$7)</f>
        <v>288</v>
      </c>
      <c r="I101" s="9">
        <f t="shared" ref="I101:I110" si="18">H101/1.2</f>
        <v>240</v>
      </c>
      <c r="J101" s="59">
        <v>44514.0</v>
      </c>
      <c r="K101" s="9" t="s">
        <v>477</v>
      </c>
      <c r="L101" s="9" t="s">
        <v>453</v>
      </c>
      <c r="N101" s="9" t="s">
        <v>641</v>
      </c>
    </row>
    <row r="102" ht="14.25" customHeight="1">
      <c r="A102" s="9">
        <f t="shared" ref="A102:A125" si="19">IF(K102="CAdeau",0,MAX($A$3:A101)+1)</f>
        <v>86</v>
      </c>
      <c r="B102" s="9" t="s">
        <v>509</v>
      </c>
      <c r="C102" s="9">
        <v>18.0</v>
      </c>
      <c r="E102" s="9"/>
      <c r="F102" s="9"/>
      <c r="G102" s="9" t="s">
        <v>641</v>
      </c>
      <c r="H102" s="9">
        <f t="shared" si="17"/>
        <v>288</v>
      </c>
      <c r="I102" s="9">
        <f t="shared" si="18"/>
        <v>240</v>
      </c>
      <c r="J102" s="58">
        <v>44534.0</v>
      </c>
      <c r="K102" s="9" t="s">
        <v>460</v>
      </c>
      <c r="L102" s="9" t="s">
        <v>453</v>
      </c>
      <c r="M102" s="9" t="s">
        <v>493</v>
      </c>
      <c r="N102" s="9" t="s">
        <v>641</v>
      </c>
    </row>
    <row r="103" ht="14.25" customHeight="1">
      <c r="A103" s="9">
        <f t="shared" si="19"/>
        <v>87</v>
      </c>
      <c r="B103" s="9" t="s">
        <v>916</v>
      </c>
      <c r="C103" s="9">
        <v>3.0</v>
      </c>
      <c r="E103" s="9">
        <v>3.0</v>
      </c>
      <c r="F103" s="9"/>
      <c r="G103" s="9" t="s">
        <v>641</v>
      </c>
      <c r="H103" s="9">
        <f t="shared" si="17"/>
        <v>100.5</v>
      </c>
      <c r="I103" s="9">
        <f t="shared" si="18"/>
        <v>83.75</v>
      </c>
      <c r="J103" s="58">
        <v>44534.0</v>
      </c>
      <c r="K103" s="9" t="s">
        <v>460</v>
      </c>
      <c r="L103" s="9" t="s">
        <v>453</v>
      </c>
      <c r="N103" s="9" t="s">
        <v>641</v>
      </c>
    </row>
    <row r="104" ht="14.25" customHeight="1">
      <c r="A104" s="9">
        <f t="shared" si="19"/>
        <v>88</v>
      </c>
      <c r="B104" s="9" t="s">
        <v>917</v>
      </c>
      <c r="C104" s="9">
        <v>6.0</v>
      </c>
      <c r="E104" s="9"/>
      <c r="F104" s="9"/>
      <c r="G104" s="9" t="s">
        <v>641</v>
      </c>
      <c r="H104" s="9">
        <f t="shared" si="17"/>
        <v>96</v>
      </c>
      <c r="I104" s="9">
        <f t="shared" si="18"/>
        <v>80</v>
      </c>
      <c r="J104" s="58">
        <v>44534.0</v>
      </c>
      <c r="K104" s="9" t="s">
        <v>460</v>
      </c>
      <c r="L104" s="9" t="s">
        <v>453</v>
      </c>
      <c r="N104" s="9" t="s">
        <v>641</v>
      </c>
    </row>
    <row r="105" ht="14.25" customHeight="1">
      <c r="A105" s="9">
        <f t="shared" si="19"/>
        <v>89</v>
      </c>
      <c r="B105" s="9" t="s">
        <v>918</v>
      </c>
      <c r="C105" s="9">
        <v>6.0</v>
      </c>
      <c r="E105" s="9"/>
      <c r="F105" s="9"/>
      <c r="G105" s="9" t="s">
        <v>641</v>
      </c>
      <c r="H105" s="9">
        <f t="shared" si="17"/>
        <v>96</v>
      </c>
      <c r="I105" s="9">
        <f t="shared" si="18"/>
        <v>80</v>
      </c>
      <c r="J105" s="58">
        <v>44534.0</v>
      </c>
      <c r="K105" s="9" t="s">
        <v>460</v>
      </c>
      <c r="L105" s="9" t="s">
        <v>453</v>
      </c>
      <c r="M105" s="9" t="s">
        <v>493</v>
      </c>
      <c r="N105" s="9" t="s">
        <v>641</v>
      </c>
    </row>
    <row r="106" ht="14.25" customHeight="1">
      <c r="A106" s="9">
        <f t="shared" si="19"/>
        <v>90</v>
      </c>
      <c r="B106" s="9" t="s">
        <v>476</v>
      </c>
      <c r="E106" s="9">
        <v>18.0</v>
      </c>
      <c r="F106" s="9"/>
      <c r="G106" s="9" t="s">
        <v>623</v>
      </c>
      <c r="H106" s="9">
        <f t="shared" si="17"/>
        <v>315</v>
      </c>
      <c r="I106" s="9">
        <f t="shared" si="18"/>
        <v>262.5</v>
      </c>
      <c r="J106" s="59">
        <v>44540.0</v>
      </c>
      <c r="K106" s="9" t="s">
        <v>477</v>
      </c>
      <c r="L106" s="9" t="s">
        <v>453</v>
      </c>
      <c r="N106" s="9" t="s">
        <v>383</v>
      </c>
    </row>
    <row r="107" ht="14.25" customHeight="1">
      <c r="A107" s="9">
        <f t="shared" si="19"/>
        <v>91</v>
      </c>
      <c r="B107" s="9" t="s">
        <v>673</v>
      </c>
      <c r="E107" s="9">
        <v>12.0</v>
      </c>
      <c r="F107" s="9"/>
      <c r="G107" s="9" t="s">
        <v>919</v>
      </c>
      <c r="H107" s="9">
        <f t="shared" si="17"/>
        <v>210</v>
      </c>
      <c r="I107" s="9">
        <f t="shared" si="18"/>
        <v>175</v>
      </c>
      <c r="J107" s="59">
        <v>44540.0</v>
      </c>
      <c r="K107" s="9" t="s">
        <v>460</v>
      </c>
      <c r="L107" s="9" t="s">
        <v>453</v>
      </c>
      <c r="M107" s="9" t="s">
        <v>493</v>
      </c>
      <c r="N107" s="9" t="s">
        <v>216</v>
      </c>
    </row>
    <row r="108" ht="14.25" customHeight="1">
      <c r="A108" s="9">
        <f t="shared" si="19"/>
        <v>92</v>
      </c>
      <c r="B108" s="9" t="s">
        <v>557</v>
      </c>
      <c r="C108" s="9">
        <v>6.0</v>
      </c>
      <c r="E108" s="9">
        <v>18.0</v>
      </c>
      <c r="F108" s="9"/>
      <c r="G108" s="9" t="s">
        <v>919</v>
      </c>
      <c r="H108" s="9">
        <f t="shared" si="17"/>
        <v>411</v>
      </c>
      <c r="I108" s="9">
        <f t="shared" si="18"/>
        <v>342.5</v>
      </c>
      <c r="J108" s="59">
        <v>44540.0</v>
      </c>
      <c r="K108" s="9" t="s">
        <v>460</v>
      </c>
      <c r="L108" s="9" t="s">
        <v>453</v>
      </c>
      <c r="M108" s="9" t="s">
        <v>920</v>
      </c>
      <c r="N108" s="9" t="s">
        <v>216</v>
      </c>
    </row>
    <row r="109" ht="14.25" customHeight="1">
      <c r="A109" s="9">
        <f t="shared" si="19"/>
        <v>93</v>
      </c>
      <c r="B109" s="9" t="s">
        <v>921</v>
      </c>
      <c r="D109" s="9">
        <v>3.0</v>
      </c>
      <c r="E109" s="9">
        <v>3.0</v>
      </c>
      <c r="F109" s="9"/>
      <c r="G109" s="9" t="s">
        <v>919</v>
      </c>
      <c r="H109" s="9">
        <f t="shared" si="17"/>
        <v>106.5</v>
      </c>
      <c r="I109" s="9">
        <f t="shared" si="18"/>
        <v>88.75</v>
      </c>
      <c r="J109" s="59">
        <v>44551.0</v>
      </c>
      <c r="K109" s="9" t="s">
        <v>460</v>
      </c>
      <c r="L109" s="9" t="s">
        <v>453</v>
      </c>
      <c r="M109" s="9" t="s">
        <v>920</v>
      </c>
      <c r="N109" s="9" t="s">
        <v>618</v>
      </c>
    </row>
    <row r="110" ht="14.25" customHeight="1">
      <c r="A110" s="9">
        <f t="shared" si="19"/>
        <v>94</v>
      </c>
      <c r="B110" s="9" t="s">
        <v>922</v>
      </c>
      <c r="E110" s="9">
        <v>2.0</v>
      </c>
      <c r="F110" s="9"/>
      <c r="G110" s="9" t="s">
        <v>919</v>
      </c>
      <c r="H110" s="9">
        <f t="shared" si="17"/>
        <v>35</v>
      </c>
      <c r="I110" s="9">
        <f t="shared" si="18"/>
        <v>29.16666667</v>
      </c>
      <c r="J110" s="59">
        <v>44551.0</v>
      </c>
      <c r="K110" s="9" t="s">
        <v>460</v>
      </c>
      <c r="L110" s="9" t="s">
        <v>453</v>
      </c>
      <c r="M110" s="9" t="s">
        <v>920</v>
      </c>
      <c r="N110" s="9" t="s">
        <v>834</v>
      </c>
    </row>
    <row r="111" ht="14.25" customHeight="1">
      <c r="A111" s="9">
        <f t="shared" si="19"/>
        <v>0</v>
      </c>
      <c r="B111" s="9" t="s">
        <v>692</v>
      </c>
      <c r="E111" s="9">
        <v>12.0</v>
      </c>
      <c r="F111" s="9">
        <v>6.0</v>
      </c>
      <c r="G111" s="9" t="s">
        <v>831</v>
      </c>
      <c r="H111" s="9"/>
      <c r="I111" s="9"/>
      <c r="J111" s="59">
        <v>44551.0</v>
      </c>
      <c r="K111" s="9" t="s">
        <v>202</v>
      </c>
      <c r="L111" s="9" t="s">
        <v>453</v>
      </c>
      <c r="M111" s="9" t="s">
        <v>111</v>
      </c>
      <c r="N111" s="9" t="s">
        <v>648</v>
      </c>
    </row>
    <row r="112" ht="14.25" customHeight="1">
      <c r="A112" s="9">
        <f t="shared" si="19"/>
        <v>95</v>
      </c>
      <c r="B112" s="9" t="s">
        <v>923</v>
      </c>
      <c r="C112" s="9">
        <v>18.0</v>
      </c>
      <c r="E112" s="9"/>
      <c r="F112" s="9"/>
      <c r="G112" s="9" t="s">
        <v>919</v>
      </c>
      <c r="H112" s="9">
        <f t="shared" ref="H112:H130" si="20">IF(K112="Cadeau",0,C112*$R$4+D112*$R$5+E112*$R$6+F112*$R$7)</f>
        <v>288</v>
      </c>
      <c r="I112" s="9">
        <f t="shared" ref="I112:I120" si="21">H112/1.2</f>
        <v>240</v>
      </c>
      <c r="J112" s="59">
        <v>44551.0</v>
      </c>
      <c r="K112" s="9" t="s">
        <v>460</v>
      </c>
      <c r="L112" s="9" t="s">
        <v>453</v>
      </c>
      <c r="M112" s="9" t="s">
        <v>516</v>
      </c>
      <c r="N112" s="9" t="s">
        <v>924</v>
      </c>
    </row>
    <row r="113" ht="14.25" customHeight="1">
      <c r="A113" s="9">
        <f t="shared" si="19"/>
        <v>96</v>
      </c>
      <c r="B113" s="9" t="s">
        <v>925</v>
      </c>
      <c r="C113" s="9">
        <v>12.0</v>
      </c>
      <c r="E113" s="9">
        <v>6.0</v>
      </c>
      <c r="F113" s="9"/>
      <c r="G113" s="9" t="s">
        <v>919</v>
      </c>
      <c r="H113" s="9">
        <f t="shared" si="20"/>
        <v>297</v>
      </c>
      <c r="I113" s="9">
        <f t="shared" si="21"/>
        <v>247.5</v>
      </c>
      <c r="J113" s="59">
        <v>44551.0</v>
      </c>
      <c r="K113" s="9" t="s">
        <v>460</v>
      </c>
      <c r="L113" s="9" t="s">
        <v>453</v>
      </c>
      <c r="M113" s="9" t="s">
        <v>493</v>
      </c>
      <c r="N113" s="9" t="s">
        <v>834</v>
      </c>
    </row>
    <row r="114" ht="14.25" customHeight="1">
      <c r="A114" s="9">
        <f t="shared" si="19"/>
        <v>97</v>
      </c>
      <c r="B114" s="9" t="s">
        <v>609</v>
      </c>
      <c r="D114" s="9">
        <v>2.0</v>
      </c>
      <c r="E114" s="9"/>
      <c r="F114" s="9"/>
      <c r="G114" s="9" t="s">
        <v>810</v>
      </c>
      <c r="H114" s="9">
        <f t="shared" si="20"/>
        <v>36</v>
      </c>
      <c r="I114" s="9">
        <f t="shared" si="21"/>
        <v>30</v>
      </c>
      <c r="J114" s="59">
        <v>44545.0</v>
      </c>
      <c r="K114" s="9" t="s">
        <v>460</v>
      </c>
      <c r="L114" s="9" t="s">
        <v>453</v>
      </c>
      <c r="M114" s="9" t="s">
        <v>493</v>
      </c>
      <c r="N114" s="9" t="s">
        <v>926</v>
      </c>
    </row>
    <row r="115" ht="14.25" customHeight="1">
      <c r="A115" s="9">
        <f t="shared" si="19"/>
        <v>98</v>
      </c>
      <c r="B115" s="9" t="s">
        <v>689</v>
      </c>
      <c r="E115" s="9">
        <v>6.0</v>
      </c>
      <c r="F115" s="9"/>
      <c r="G115" s="9" t="s">
        <v>623</v>
      </c>
      <c r="H115" s="9">
        <f t="shared" si="20"/>
        <v>105</v>
      </c>
      <c r="I115" s="9">
        <f t="shared" si="21"/>
        <v>87.5</v>
      </c>
      <c r="J115" s="59">
        <v>44550.0</v>
      </c>
      <c r="K115" s="9" t="s">
        <v>460</v>
      </c>
      <c r="L115" s="9" t="s">
        <v>453</v>
      </c>
      <c r="M115" s="9" t="s">
        <v>493</v>
      </c>
      <c r="N115" s="9" t="s">
        <v>927</v>
      </c>
    </row>
    <row r="116" ht="14.25" customHeight="1">
      <c r="A116" s="9">
        <f t="shared" si="19"/>
        <v>99</v>
      </c>
      <c r="B116" s="9" t="s">
        <v>494</v>
      </c>
      <c r="D116" s="9">
        <v>6.0</v>
      </c>
      <c r="E116" s="9"/>
      <c r="F116" s="9"/>
      <c r="G116" s="9" t="s">
        <v>623</v>
      </c>
      <c r="H116" s="9">
        <f t="shared" si="20"/>
        <v>108</v>
      </c>
      <c r="I116" s="9">
        <f t="shared" si="21"/>
        <v>90</v>
      </c>
      <c r="J116" s="59">
        <v>44550.0</v>
      </c>
      <c r="K116" s="9" t="s">
        <v>460</v>
      </c>
      <c r="L116" s="9" t="s">
        <v>453</v>
      </c>
      <c r="M116" s="9" t="s">
        <v>493</v>
      </c>
      <c r="N116" s="9" t="s">
        <v>927</v>
      </c>
    </row>
    <row r="117" ht="14.25" customHeight="1">
      <c r="A117" s="9">
        <f t="shared" si="19"/>
        <v>100</v>
      </c>
      <c r="B117" s="9" t="s">
        <v>450</v>
      </c>
      <c r="C117" s="9">
        <v>30.0</v>
      </c>
      <c r="D117" s="9">
        <v>30.0</v>
      </c>
      <c r="E117" s="9"/>
      <c r="F117" s="9"/>
      <c r="G117" s="9" t="s">
        <v>478</v>
      </c>
      <c r="H117" s="9">
        <f t="shared" si="20"/>
        <v>1020</v>
      </c>
      <c r="I117" s="9">
        <f t="shared" si="21"/>
        <v>850</v>
      </c>
      <c r="J117" s="59">
        <v>44560.0</v>
      </c>
      <c r="K117" s="9" t="s">
        <v>573</v>
      </c>
      <c r="L117" s="9" t="s">
        <v>453</v>
      </c>
      <c r="N117" s="9" t="s">
        <v>704</v>
      </c>
    </row>
    <row r="118" ht="14.25" customHeight="1">
      <c r="A118" s="9">
        <f t="shared" si="19"/>
        <v>101</v>
      </c>
      <c r="B118" s="9" t="s">
        <v>521</v>
      </c>
      <c r="C118" s="9">
        <v>6.0</v>
      </c>
      <c r="E118" s="9"/>
      <c r="F118" s="9"/>
      <c r="G118" s="9" t="s">
        <v>919</v>
      </c>
      <c r="H118" s="9">
        <f t="shared" si="20"/>
        <v>96</v>
      </c>
      <c r="I118" s="9">
        <f t="shared" si="21"/>
        <v>80</v>
      </c>
      <c r="J118" s="59">
        <v>44560.0</v>
      </c>
      <c r="K118" s="9" t="s">
        <v>460</v>
      </c>
      <c r="L118" s="9" t="s">
        <v>453</v>
      </c>
      <c r="M118" s="9" t="s">
        <v>493</v>
      </c>
      <c r="N118" s="9" t="s">
        <v>234</v>
      </c>
    </row>
    <row r="119" ht="14.25" customHeight="1">
      <c r="A119" s="9">
        <f t="shared" si="19"/>
        <v>102</v>
      </c>
      <c r="B119" s="9" t="s">
        <v>928</v>
      </c>
      <c r="E119" s="9">
        <v>2.0</v>
      </c>
      <c r="F119" s="9"/>
      <c r="G119" s="9" t="s">
        <v>919</v>
      </c>
      <c r="H119" s="9">
        <f t="shared" si="20"/>
        <v>35</v>
      </c>
      <c r="I119" s="9">
        <f t="shared" si="21"/>
        <v>29.16666667</v>
      </c>
      <c r="J119" s="59">
        <v>44560.0</v>
      </c>
      <c r="K119" s="9" t="s">
        <v>460</v>
      </c>
      <c r="L119" s="9" t="s">
        <v>453</v>
      </c>
      <c r="M119" s="9" t="s">
        <v>929</v>
      </c>
      <c r="N119" s="9" t="s">
        <v>234</v>
      </c>
    </row>
    <row r="120" ht="14.25" customHeight="1">
      <c r="A120" s="9">
        <f t="shared" si="19"/>
        <v>0</v>
      </c>
      <c r="B120" s="9" t="s">
        <v>731</v>
      </c>
      <c r="C120" s="9">
        <v>3.0</v>
      </c>
      <c r="D120" s="9">
        <v>4.0</v>
      </c>
      <c r="E120" s="9">
        <v>14.0</v>
      </c>
      <c r="F120" s="9">
        <v>2.0</v>
      </c>
      <c r="G120" s="9" t="s">
        <v>871</v>
      </c>
      <c r="H120" s="9">
        <f t="shared" si="20"/>
        <v>0</v>
      </c>
      <c r="I120" s="9">
        <f t="shared" si="21"/>
        <v>0</v>
      </c>
      <c r="J120" s="59">
        <v>44560.0</v>
      </c>
      <c r="K120" s="9" t="s">
        <v>202</v>
      </c>
      <c r="L120" s="9" t="s">
        <v>453</v>
      </c>
      <c r="M120" s="9">
        <v>0.0</v>
      </c>
      <c r="N120" s="9" t="s">
        <v>930</v>
      </c>
    </row>
    <row r="121" ht="14.25" customHeight="1">
      <c r="A121" s="9">
        <f t="shared" si="19"/>
        <v>103</v>
      </c>
      <c r="B121" s="9" t="s">
        <v>599</v>
      </c>
      <c r="D121" s="9">
        <v>6.0</v>
      </c>
      <c r="G121" s="9" t="s">
        <v>641</v>
      </c>
      <c r="H121" s="9">
        <f t="shared" si="20"/>
        <v>108</v>
      </c>
      <c r="J121" s="59">
        <v>44560.0</v>
      </c>
      <c r="K121" s="9" t="s">
        <v>460</v>
      </c>
      <c r="L121" s="9" t="s">
        <v>453</v>
      </c>
      <c r="M121" s="9" t="s">
        <v>931</v>
      </c>
      <c r="N121" s="9" t="s">
        <v>641</v>
      </c>
    </row>
    <row r="122" ht="14.25" customHeight="1">
      <c r="A122" s="9">
        <f t="shared" si="19"/>
        <v>104</v>
      </c>
      <c r="B122" s="9" t="s">
        <v>770</v>
      </c>
      <c r="C122" s="9">
        <v>2.0</v>
      </c>
      <c r="G122" s="9" t="s">
        <v>641</v>
      </c>
      <c r="H122" s="9">
        <f t="shared" si="20"/>
        <v>32</v>
      </c>
      <c r="J122" s="59">
        <v>44560.0</v>
      </c>
      <c r="K122" s="9" t="s">
        <v>460</v>
      </c>
      <c r="L122" s="9" t="s">
        <v>453</v>
      </c>
      <c r="M122" s="9" t="s">
        <v>640</v>
      </c>
      <c r="N122" s="9" t="s">
        <v>932</v>
      </c>
    </row>
    <row r="123" ht="14.25" customHeight="1">
      <c r="A123" s="9">
        <f t="shared" si="19"/>
        <v>105</v>
      </c>
      <c r="B123" s="9" t="s">
        <v>586</v>
      </c>
      <c r="C123" s="9">
        <v>6.0</v>
      </c>
      <c r="G123" s="9" t="s">
        <v>623</v>
      </c>
      <c r="H123" s="9">
        <f t="shared" si="20"/>
        <v>96</v>
      </c>
      <c r="J123" s="59">
        <v>44558.0</v>
      </c>
      <c r="K123" s="9" t="s">
        <v>460</v>
      </c>
      <c r="L123" s="9" t="s">
        <v>453</v>
      </c>
      <c r="M123" s="9" t="s">
        <v>555</v>
      </c>
      <c r="N123" s="9" t="s">
        <v>623</v>
      </c>
    </row>
    <row r="124" ht="14.25" customHeight="1">
      <c r="A124" s="9">
        <f t="shared" si="19"/>
        <v>106</v>
      </c>
      <c r="B124" s="9" t="s">
        <v>933</v>
      </c>
      <c r="C124" s="9">
        <v>3.0</v>
      </c>
      <c r="G124" s="9" t="s">
        <v>934</v>
      </c>
      <c r="H124" s="9">
        <f t="shared" si="20"/>
        <v>48</v>
      </c>
      <c r="J124" s="59">
        <v>44561.0</v>
      </c>
      <c r="K124" s="9" t="s">
        <v>460</v>
      </c>
      <c r="L124" s="9" t="s">
        <v>453</v>
      </c>
      <c r="M124" s="9" t="s">
        <v>493</v>
      </c>
      <c r="N124" s="9" t="s">
        <v>935</v>
      </c>
    </row>
    <row r="125" ht="14.25" customHeight="1">
      <c r="A125" s="9">
        <f t="shared" si="19"/>
        <v>0</v>
      </c>
      <c r="B125" s="9" t="s">
        <v>486</v>
      </c>
      <c r="C125" s="9">
        <v>6.0</v>
      </c>
      <c r="G125" s="9" t="s">
        <v>831</v>
      </c>
      <c r="H125" s="9">
        <f t="shared" si="20"/>
        <v>0</v>
      </c>
      <c r="J125" s="59">
        <v>44561.0</v>
      </c>
      <c r="K125" s="9" t="s">
        <v>202</v>
      </c>
      <c r="M125" s="9">
        <v>0.0</v>
      </c>
      <c r="N125" s="9" t="s">
        <v>930</v>
      </c>
    </row>
    <row r="126" ht="14.25" customHeight="1">
      <c r="A126" s="9"/>
      <c r="B126" s="9" t="s">
        <v>643</v>
      </c>
      <c r="C126" s="9">
        <v>3.0</v>
      </c>
      <c r="G126" s="9" t="s">
        <v>934</v>
      </c>
      <c r="H126" s="9">
        <f t="shared" si="20"/>
        <v>48</v>
      </c>
      <c r="J126" s="59">
        <v>44561.0</v>
      </c>
      <c r="K126" s="9" t="s">
        <v>460</v>
      </c>
      <c r="M126" s="9" t="s">
        <v>493</v>
      </c>
      <c r="N126" s="9" t="s">
        <v>698</v>
      </c>
    </row>
    <row r="127" ht="14.25" customHeight="1">
      <c r="A127" s="9">
        <f t="shared" ref="A127:A163" si="22">IF(K127="CAdeau",0,MAX($A$3:A126)+1)</f>
        <v>107</v>
      </c>
      <c r="B127" s="9" t="s">
        <v>680</v>
      </c>
      <c r="C127" s="9">
        <v>4.0</v>
      </c>
      <c r="G127" s="9" t="s">
        <v>753</v>
      </c>
      <c r="H127" s="9">
        <f t="shared" si="20"/>
        <v>64</v>
      </c>
      <c r="J127" s="58">
        <v>44448.0</v>
      </c>
      <c r="K127" s="9" t="s">
        <v>460</v>
      </c>
      <c r="M127" s="9" t="s">
        <v>493</v>
      </c>
      <c r="N127" s="9" t="s">
        <v>936</v>
      </c>
    </row>
    <row r="128" ht="14.25" customHeight="1">
      <c r="A128" s="9">
        <f t="shared" si="22"/>
        <v>108</v>
      </c>
      <c r="B128" s="9" t="s">
        <v>479</v>
      </c>
      <c r="C128" s="9">
        <v>18.0</v>
      </c>
      <c r="E128" s="9">
        <v>18.0</v>
      </c>
      <c r="G128" s="9" t="s">
        <v>478</v>
      </c>
      <c r="H128" s="9">
        <f t="shared" si="20"/>
        <v>603</v>
      </c>
      <c r="J128" s="59">
        <v>44519.0</v>
      </c>
      <c r="K128" s="9" t="s">
        <v>937</v>
      </c>
    </row>
    <row r="129" ht="14.25" customHeight="1">
      <c r="A129" s="9">
        <f t="shared" si="22"/>
        <v>109</v>
      </c>
      <c r="B129" s="9" t="s">
        <v>512</v>
      </c>
      <c r="C129" s="9">
        <v>6.0</v>
      </c>
      <c r="G129" s="9" t="s">
        <v>934</v>
      </c>
      <c r="H129" s="9">
        <f t="shared" si="20"/>
        <v>96</v>
      </c>
      <c r="K129" s="9" t="s">
        <v>477</v>
      </c>
    </row>
    <row r="130" ht="14.25" customHeight="1">
      <c r="A130" s="9">
        <f t="shared" si="22"/>
        <v>0</v>
      </c>
      <c r="B130" s="9" t="s">
        <v>925</v>
      </c>
      <c r="D130" s="9">
        <v>1.0</v>
      </c>
      <c r="G130" s="9"/>
      <c r="H130" s="9">
        <f t="shared" si="20"/>
        <v>0</v>
      </c>
      <c r="J130" s="59">
        <v>44551.0</v>
      </c>
      <c r="K130" s="9" t="s">
        <v>202</v>
      </c>
    </row>
    <row r="131" ht="14.25" customHeight="1">
      <c r="A131" s="9">
        <f t="shared" si="22"/>
        <v>110</v>
      </c>
      <c r="B131" s="9"/>
      <c r="C131" s="9"/>
      <c r="G131" s="9"/>
      <c r="H131" s="9"/>
      <c r="J131" s="58"/>
    </row>
    <row r="132" ht="14.25" customHeight="1">
      <c r="A132" s="9">
        <f t="shared" si="22"/>
        <v>111</v>
      </c>
      <c r="B132" s="9" t="s">
        <v>938</v>
      </c>
      <c r="D132" s="9">
        <v>6.0</v>
      </c>
      <c r="E132" s="9">
        <v>6.0</v>
      </c>
      <c r="G132" s="9"/>
      <c r="H132" s="9">
        <f>IF(K132="Cadeau",0,C132*$R$4+D132*$R$5+E132*$R$6+F132*$R$7)</f>
        <v>213</v>
      </c>
      <c r="J132" s="58">
        <v>44728.0</v>
      </c>
      <c r="K132" s="9" t="s">
        <v>939</v>
      </c>
      <c r="M132" s="9" t="s">
        <v>493</v>
      </c>
      <c r="N132" s="9" t="s">
        <v>940</v>
      </c>
    </row>
    <row r="133" ht="14.25" customHeight="1">
      <c r="A133" s="9">
        <f t="shared" si="22"/>
        <v>112</v>
      </c>
      <c r="B133" s="9"/>
      <c r="G133" s="9"/>
      <c r="H133" s="9"/>
      <c r="J133" s="58"/>
    </row>
    <row r="134" ht="14.25" customHeight="1">
      <c r="A134" s="9">
        <f t="shared" si="22"/>
        <v>113</v>
      </c>
      <c r="B134" s="9"/>
      <c r="G134" s="9"/>
      <c r="H134" s="9">
        <f t="shared" ref="H134:H152" si="23">IF(K134="Cadeau",0,C134*$R$4+D134*$R$5+E134*$R$6+F134*$R$7)</f>
        <v>0</v>
      </c>
      <c r="J134" s="58"/>
    </row>
    <row r="135" ht="14.25" customHeight="1">
      <c r="A135" s="9">
        <f t="shared" si="22"/>
        <v>114</v>
      </c>
      <c r="B135" s="9"/>
      <c r="G135" s="9"/>
      <c r="H135" s="9">
        <f t="shared" si="23"/>
        <v>0</v>
      </c>
    </row>
    <row r="136" ht="14.25" customHeight="1">
      <c r="A136" s="9">
        <f t="shared" si="22"/>
        <v>115</v>
      </c>
      <c r="B136" s="9"/>
      <c r="G136" s="9"/>
      <c r="H136" s="9">
        <f t="shared" si="23"/>
        <v>0</v>
      </c>
    </row>
    <row r="137" ht="14.25" customHeight="1">
      <c r="A137" s="9">
        <f t="shared" si="22"/>
        <v>116</v>
      </c>
      <c r="B137" s="9"/>
      <c r="G137" s="9"/>
      <c r="H137" s="9">
        <f t="shared" si="23"/>
        <v>0</v>
      </c>
    </row>
    <row r="138" ht="14.25" customHeight="1">
      <c r="A138" s="9">
        <f t="shared" si="22"/>
        <v>117</v>
      </c>
      <c r="B138" s="9"/>
      <c r="G138" s="9"/>
      <c r="H138" s="9">
        <f t="shared" si="23"/>
        <v>0</v>
      </c>
    </row>
    <row r="139" ht="14.25" customHeight="1">
      <c r="A139" s="9">
        <f t="shared" si="22"/>
        <v>118</v>
      </c>
      <c r="B139" s="9"/>
      <c r="G139" s="9"/>
      <c r="H139" s="9">
        <f t="shared" si="23"/>
        <v>0</v>
      </c>
    </row>
    <row r="140" ht="14.25" customHeight="1">
      <c r="A140" s="9">
        <f t="shared" si="22"/>
        <v>119</v>
      </c>
      <c r="B140" s="9"/>
      <c r="G140" s="9"/>
      <c r="H140" s="9">
        <f t="shared" si="23"/>
        <v>0</v>
      </c>
    </row>
    <row r="141" ht="14.25" customHeight="1">
      <c r="A141" s="9">
        <f t="shared" si="22"/>
        <v>120</v>
      </c>
      <c r="B141" s="9"/>
      <c r="G141" s="9"/>
      <c r="H141" s="9">
        <f t="shared" si="23"/>
        <v>0</v>
      </c>
    </row>
    <row r="142" ht="14.25" customHeight="1">
      <c r="A142" s="9">
        <f t="shared" si="22"/>
        <v>121</v>
      </c>
      <c r="B142" s="9"/>
      <c r="G142" s="9"/>
      <c r="H142" s="9">
        <f t="shared" si="23"/>
        <v>0</v>
      </c>
    </row>
    <row r="143" ht="14.25" customHeight="1">
      <c r="A143" s="9">
        <f t="shared" si="22"/>
        <v>122</v>
      </c>
      <c r="B143" s="9"/>
      <c r="G143" s="9"/>
      <c r="H143" s="9">
        <f t="shared" si="23"/>
        <v>0</v>
      </c>
    </row>
    <row r="144" ht="14.25" customHeight="1">
      <c r="A144" s="9">
        <f t="shared" si="22"/>
        <v>123</v>
      </c>
      <c r="B144" s="9"/>
      <c r="G144" s="9"/>
      <c r="H144" s="9">
        <f t="shared" si="23"/>
        <v>0</v>
      </c>
    </row>
    <row r="145" ht="14.25" customHeight="1">
      <c r="A145" s="9">
        <f t="shared" si="22"/>
        <v>124</v>
      </c>
      <c r="B145" s="9"/>
      <c r="G145" s="9"/>
      <c r="H145" s="9">
        <f t="shared" si="23"/>
        <v>0</v>
      </c>
    </row>
    <row r="146" ht="14.25" customHeight="1">
      <c r="A146" s="9">
        <f t="shared" si="22"/>
        <v>125</v>
      </c>
      <c r="B146" s="9"/>
      <c r="G146" s="9"/>
      <c r="H146" s="9">
        <f t="shared" si="23"/>
        <v>0</v>
      </c>
    </row>
    <row r="147" ht="14.25" customHeight="1">
      <c r="A147" s="9">
        <f t="shared" si="22"/>
        <v>126</v>
      </c>
      <c r="B147" s="9"/>
      <c r="G147" s="9"/>
      <c r="H147" s="9">
        <f t="shared" si="23"/>
        <v>0</v>
      </c>
    </row>
    <row r="148" ht="14.25" customHeight="1">
      <c r="A148" s="9">
        <f t="shared" si="22"/>
        <v>127</v>
      </c>
      <c r="B148" s="9"/>
      <c r="G148" s="9"/>
      <c r="H148" s="9">
        <f t="shared" si="23"/>
        <v>0</v>
      </c>
    </row>
    <row r="149" ht="14.25" customHeight="1">
      <c r="A149" s="9">
        <f t="shared" si="22"/>
        <v>128</v>
      </c>
      <c r="B149" s="9"/>
      <c r="G149" s="9"/>
      <c r="H149" s="9">
        <f t="shared" si="23"/>
        <v>0</v>
      </c>
    </row>
    <row r="150" ht="14.25" customHeight="1">
      <c r="A150" s="9">
        <f t="shared" si="22"/>
        <v>129</v>
      </c>
      <c r="B150" s="9"/>
      <c r="G150" s="9"/>
      <c r="H150" s="9">
        <f t="shared" si="23"/>
        <v>0</v>
      </c>
    </row>
    <row r="151" ht="14.25" customHeight="1">
      <c r="A151" s="9">
        <f t="shared" si="22"/>
        <v>130</v>
      </c>
      <c r="B151" s="9"/>
      <c r="G151" s="9"/>
      <c r="H151" s="9">
        <f t="shared" si="23"/>
        <v>0</v>
      </c>
    </row>
    <row r="152" ht="14.25" customHeight="1">
      <c r="A152" s="9">
        <f t="shared" si="22"/>
        <v>131</v>
      </c>
      <c r="B152" s="9"/>
      <c r="G152" s="9"/>
      <c r="H152" s="9">
        <f t="shared" si="23"/>
        <v>0</v>
      </c>
    </row>
    <row r="153" ht="14.25" customHeight="1">
      <c r="A153" s="9">
        <f t="shared" si="22"/>
        <v>132</v>
      </c>
      <c r="B153" s="9"/>
    </row>
    <row r="154" ht="14.25" customHeight="1">
      <c r="A154" s="9">
        <f t="shared" si="22"/>
        <v>133</v>
      </c>
    </row>
    <row r="155" ht="14.25" customHeight="1">
      <c r="A155" s="9">
        <f t="shared" si="22"/>
        <v>134</v>
      </c>
    </row>
    <row r="156" ht="14.25" customHeight="1">
      <c r="A156" s="9">
        <f t="shared" si="22"/>
        <v>135</v>
      </c>
    </row>
    <row r="157" ht="14.25" customHeight="1">
      <c r="A157" s="9">
        <f t="shared" si="22"/>
        <v>136</v>
      </c>
    </row>
    <row r="158" ht="14.25" customHeight="1">
      <c r="A158" s="9">
        <f t="shared" si="22"/>
        <v>137</v>
      </c>
    </row>
    <row r="159" ht="14.25" customHeight="1">
      <c r="A159" s="9">
        <f t="shared" si="22"/>
        <v>138</v>
      </c>
    </row>
    <row r="160" ht="14.25" customHeight="1">
      <c r="A160" s="9">
        <f t="shared" si="22"/>
        <v>139</v>
      </c>
    </row>
    <row r="161" ht="14.25" customHeight="1">
      <c r="A161" s="9">
        <f t="shared" si="22"/>
        <v>140</v>
      </c>
    </row>
    <row r="162" ht="14.25" customHeight="1">
      <c r="A162" s="9">
        <f t="shared" si="22"/>
        <v>141</v>
      </c>
    </row>
    <row r="163" ht="14.25" customHeight="1">
      <c r="A163" s="9">
        <f t="shared" si="22"/>
        <v>142</v>
      </c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AH$998"/>
  <dataValidations>
    <dataValidation type="list" allowBlank="1" showErrorMessage="1" sqref="B4:B32 B34:B47 B49:B153">
      <formula1>'Suivi Client'!$C$2:$C$200</formula1>
    </dataValidation>
    <dataValidation type="list" allowBlank="1" showErrorMessage="1" sqref="K4:K123">
      <formula1>'LISTE DEROULANTE'!$A$1:$A$4</formula1>
    </dataValidation>
    <dataValidation type="list" allowBlank="1" showErrorMessage="1" sqref="L4:L124">
      <formula1>'LISTE DEROULANTE'!$B$1:$B$3</formula1>
    </dataValidation>
  </dataValidations>
  <printOptions/>
  <pageMargins bottom="0.75" footer="0.0" header="0.0" left="0.7" right="0.7" top="0.75"/>
  <pageSetup paperSize="9" scale="4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14"/>
  </cols>
  <sheetData>
    <row r="1">
      <c r="A1" s="9" t="s">
        <v>202</v>
      </c>
      <c r="B1" s="9" t="s">
        <v>472</v>
      </c>
    </row>
    <row r="2">
      <c r="A2" s="9" t="s">
        <v>573</v>
      </c>
      <c r="B2" s="9" t="s">
        <v>482</v>
      </c>
    </row>
    <row r="3">
      <c r="A3" s="9" t="s">
        <v>460</v>
      </c>
      <c r="B3" s="9" t="s">
        <v>453</v>
      </c>
    </row>
    <row r="4">
      <c r="A4" s="9" t="s">
        <v>477</v>
      </c>
    </row>
    <row r="5">
      <c r="A5" s="9" t="s">
        <v>941</v>
      </c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6.71"/>
    <col customWidth="1" min="3" max="3" width="6.0"/>
    <col customWidth="1" min="4" max="4" width="5.57"/>
    <col customWidth="1" min="5" max="5" width="7.14"/>
    <col customWidth="1" min="6" max="6" width="8.43"/>
    <col customWidth="1" min="8" max="8" width="11.29"/>
    <col customWidth="1" min="9" max="9" width="6.71"/>
    <col customWidth="1" min="10" max="10" width="6.0"/>
    <col customWidth="1" min="11" max="11" width="9.57"/>
    <col customWidth="1" min="12" max="12" width="6.14"/>
    <col customWidth="1" min="13" max="13" width="8.43"/>
    <col customWidth="1" min="14" max="14" width="11.29"/>
    <col customWidth="1" min="15" max="15" width="14.0"/>
    <col customWidth="1" min="16" max="16" width="6.71"/>
    <col customWidth="1" min="17" max="17" width="6.0"/>
    <col customWidth="1" min="18" max="18" width="6.14"/>
    <col customWidth="1" min="19" max="19" width="10.29"/>
    <col customWidth="1" min="21" max="21" width="9.86"/>
    <col customWidth="1" min="22" max="22" width="8.0"/>
    <col customWidth="1" min="23" max="23" width="8.71"/>
    <col customWidth="1" min="24" max="24" width="10.43"/>
    <col customWidth="1" min="25" max="25" width="7.86"/>
    <col customWidth="1" min="30" max="30" width="21.0"/>
  </cols>
  <sheetData>
    <row r="1">
      <c r="AD1" s="9" t="s">
        <v>598</v>
      </c>
    </row>
    <row r="2">
      <c r="A2" s="187" t="s">
        <v>942</v>
      </c>
      <c r="B2" s="187"/>
      <c r="C2" s="187"/>
      <c r="D2" s="187"/>
      <c r="E2" s="187"/>
      <c r="F2" s="187"/>
      <c r="G2" s="187"/>
      <c r="H2" s="188" t="s">
        <v>943</v>
      </c>
      <c r="I2" s="188"/>
      <c r="J2" s="188"/>
      <c r="K2" s="188"/>
      <c r="L2" s="188"/>
      <c r="M2" s="188"/>
      <c r="N2" s="189" t="s">
        <v>944</v>
      </c>
      <c r="O2" s="189"/>
      <c r="P2" s="189"/>
      <c r="Q2" s="189"/>
      <c r="R2" s="189"/>
      <c r="S2" s="189"/>
      <c r="T2" s="190" t="s">
        <v>945</v>
      </c>
      <c r="U2" s="190"/>
      <c r="V2" s="190"/>
      <c r="W2" s="190"/>
      <c r="X2" s="190" t="s">
        <v>598</v>
      </c>
      <c r="Y2" s="190"/>
      <c r="Z2" s="191" t="s">
        <v>946</v>
      </c>
      <c r="AA2" s="191"/>
      <c r="AB2" s="191"/>
      <c r="AC2" s="191"/>
      <c r="AD2" s="191"/>
    </row>
    <row r="3">
      <c r="A3" s="191" t="s">
        <v>947</v>
      </c>
      <c r="B3" s="191" t="s">
        <v>948</v>
      </c>
      <c r="C3" s="191" t="s">
        <v>949</v>
      </c>
      <c r="D3" s="191" t="s">
        <v>950</v>
      </c>
      <c r="E3" s="191" t="s">
        <v>951</v>
      </c>
      <c r="F3" s="191" t="s">
        <v>952</v>
      </c>
      <c r="G3" s="191"/>
      <c r="H3" s="192" t="s">
        <v>947</v>
      </c>
      <c r="I3" s="192" t="s">
        <v>948</v>
      </c>
      <c r="J3" s="192" t="s">
        <v>949</v>
      </c>
      <c r="K3" s="192" t="s">
        <v>950</v>
      </c>
      <c r="L3" s="192" t="s">
        <v>953</v>
      </c>
      <c r="M3" s="192" t="s">
        <v>952</v>
      </c>
      <c r="N3" s="193" t="s">
        <v>947</v>
      </c>
      <c r="O3" s="193" t="s">
        <v>948</v>
      </c>
      <c r="P3" s="193" t="s">
        <v>949</v>
      </c>
      <c r="Q3" s="193" t="s">
        <v>950</v>
      </c>
      <c r="R3" s="193" t="s">
        <v>953</v>
      </c>
      <c r="S3" s="193" t="s">
        <v>952</v>
      </c>
      <c r="T3" s="194" t="s">
        <v>947</v>
      </c>
      <c r="U3" s="194" t="s">
        <v>948</v>
      </c>
      <c r="V3" s="194" t="s">
        <v>949</v>
      </c>
      <c r="W3" s="194" t="s">
        <v>950</v>
      </c>
      <c r="X3" s="194" t="s">
        <v>953</v>
      </c>
      <c r="Y3" s="194" t="s">
        <v>952</v>
      </c>
      <c r="Z3" s="195" t="s">
        <v>947</v>
      </c>
      <c r="AA3" s="195" t="s">
        <v>948</v>
      </c>
      <c r="AB3" s="195" t="s">
        <v>949</v>
      </c>
      <c r="AC3" s="195" t="s">
        <v>953</v>
      </c>
      <c r="AD3" s="195" t="s">
        <v>954</v>
      </c>
    </row>
    <row r="4">
      <c r="A4" s="196">
        <v>44136.0</v>
      </c>
      <c r="B4" s="191">
        <v>200.0</v>
      </c>
      <c r="C4" s="191"/>
      <c r="D4" s="191">
        <f>B4-C4</f>
        <v>200</v>
      </c>
      <c r="E4" s="191"/>
      <c r="F4" s="191">
        <f t="shared" ref="F4:F18" si="1">D4-E4</f>
        <v>200</v>
      </c>
      <c r="G4" s="191"/>
      <c r="H4" s="197">
        <v>44136.0</v>
      </c>
      <c r="I4" s="192">
        <v>50.0</v>
      </c>
      <c r="J4" s="192"/>
      <c r="K4" s="192">
        <f>I4-J4</f>
        <v>50</v>
      </c>
      <c r="L4" s="192"/>
      <c r="M4" s="192">
        <f t="shared" ref="M4:M18" si="2">K4-L4</f>
        <v>50</v>
      </c>
      <c r="N4" s="198">
        <v>44136.0</v>
      </c>
      <c r="O4" s="193"/>
      <c r="P4" s="193"/>
      <c r="Q4" s="193"/>
      <c r="R4" s="193"/>
      <c r="S4" s="193"/>
      <c r="T4" s="199">
        <v>44136.0</v>
      </c>
      <c r="U4" s="194"/>
      <c r="V4" s="194"/>
      <c r="W4" s="194"/>
      <c r="X4" s="194"/>
      <c r="Y4" s="194"/>
      <c r="Z4" s="200">
        <v>44136.0</v>
      </c>
      <c r="AA4" s="195"/>
      <c r="AB4" s="195"/>
      <c r="AC4" s="195"/>
      <c r="AD4" s="195">
        <f>AA4-AB4-AC4</f>
        <v>0</v>
      </c>
    </row>
    <row r="5">
      <c r="A5" s="196">
        <v>44166.0</v>
      </c>
      <c r="B5" s="191">
        <v>150.0</v>
      </c>
      <c r="C5" s="191">
        <v>288.0</v>
      </c>
      <c r="D5" s="191">
        <f t="shared" ref="D5:D18" si="3">D4+B5-C5</f>
        <v>62</v>
      </c>
      <c r="E5" s="191">
        <v>3.0</v>
      </c>
      <c r="F5" s="191">
        <f t="shared" si="1"/>
        <v>59</v>
      </c>
      <c r="G5" s="191"/>
      <c r="H5" s="197">
        <v>44166.0</v>
      </c>
      <c r="I5" s="192"/>
      <c r="J5" s="192">
        <v>48.0</v>
      </c>
      <c r="K5" s="192">
        <f t="shared" ref="K5:K18" si="4">K4+I5-J5</f>
        <v>2</v>
      </c>
      <c r="L5" s="192"/>
      <c r="M5" s="192">
        <f t="shared" si="2"/>
        <v>2</v>
      </c>
      <c r="N5" s="198">
        <v>44166.0</v>
      </c>
      <c r="O5" s="193"/>
      <c r="P5" s="193"/>
      <c r="Q5" s="193"/>
      <c r="R5" s="193"/>
      <c r="S5" s="193"/>
      <c r="T5" s="199">
        <v>44166.0</v>
      </c>
      <c r="U5" s="194"/>
      <c r="V5" s="194"/>
      <c r="W5" s="194"/>
      <c r="X5" s="194"/>
      <c r="Y5" s="194"/>
      <c r="Z5" s="200">
        <v>44166.0</v>
      </c>
      <c r="AA5" s="195">
        <v>550.0</v>
      </c>
      <c r="AB5" s="195">
        <f t="shared" ref="AB5:AB9" si="5">C5+J5</f>
        <v>336</v>
      </c>
      <c r="AC5" s="195"/>
      <c r="AD5" s="195">
        <f t="shared" ref="AD5:AD18" si="6">AD4+AA5-AB5-AC5</f>
        <v>214</v>
      </c>
    </row>
    <row r="6">
      <c r="A6" s="196">
        <v>44197.0</v>
      </c>
      <c r="B6" s="191">
        <v>100.0</v>
      </c>
      <c r="C6" s="191">
        <v>45.0</v>
      </c>
      <c r="D6" s="191">
        <f t="shared" si="3"/>
        <v>117</v>
      </c>
      <c r="E6" s="191"/>
      <c r="F6" s="191">
        <f t="shared" si="1"/>
        <v>117</v>
      </c>
      <c r="G6" s="191"/>
      <c r="H6" s="197">
        <v>44197.0</v>
      </c>
      <c r="I6" s="192">
        <v>100.0</v>
      </c>
      <c r="J6" s="192">
        <v>14.0</v>
      </c>
      <c r="K6" s="192">
        <f t="shared" si="4"/>
        <v>88</v>
      </c>
      <c r="L6" s="192"/>
      <c r="M6" s="192">
        <f t="shared" si="2"/>
        <v>88</v>
      </c>
      <c r="N6" s="198">
        <v>44197.0</v>
      </c>
      <c r="O6" s="193"/>
      <c r="P6" s="193"/>
      <c r="Q6" s="193"/>
      <c r="R6" s="193"/>
      <c r="S6" s="193"/>
      <c r="T6" s="199">
        <v>44197.0</v>
      </c>
      <c r="U6" s="194"/>
      <c r="V6" s="194"/>
      <c r="W6" s="194"/>
      <c r="X6" s="194"/>
      <c r="Y6" s="194"/>
      <c r="Z6" s="200">
        <v>44197.0</v>
      </c>
      <c r="AA6" s="195"/>
      <c r="AB6" s="195">
        <f t="shared" si="5"/>
        <v>59</v>
      </c>
      <c r="AC6" s="195"/>
      <c r="AD6" s="195">
        <f t="shared" si="6"/>
        <v>155</v>
      </c>
    </row>
    <row r="7">
      <c r="A7" s="196">
        <v>44228.0</v>
      </c>
      <c r="B7" s="191"/>
      <c r="C7" s="191">
        <v>103.0</v>
      </c>
      <c r="D7" s="191">
        <f t="shared" si="3"/>
        <v>14</v>
      </c>
      <c r="E7" s="191"/>
      <c r="F7" s="191">
        <f t="shared" si="1"/>
        <v>14</v>
      </c>
      <c r="G7" s="191"/>
      <c r="H7" s="197">
        <v>44228.0</v>
      </c>
      <c r="I7" s="192"/>
      <c r="J7" s="192">
        <v>51.0</v>
      </c>
      <c r="K7" s="192">
        <f t="shared" si="4"/>
        <v>37</v>
      </c>
      <c r="L7" s="192"/>
      <c r="M7" s="192">
        <f t="shared" si="2"/>
        <v>37</v>
      </c>
      <c r="N7" s="198">
        <v>44228.0</v>
      </c>
      <c r="O7" s="193"/>
      <c r="P7" s="193"/>
      <c r="Q7" s="193"/>
      <c r="R7" s="193"/>
      <c r="S7" s="193"/>
      <c r="T7" s="199">
        <v>44228.0</v>
      </c>
      <c r="U7" s="194"/>
      <c r="V7" s="194"/>
      <c r="W7" s="194"/>
      <c r="X7" s="194"/>
      <c r="Y7" s="194"/>
      <c r="Z7" s="200">
        <v>44228.0</v>
      </c>
      <c r="AA7" s="195">
        <v>300.0</v>
      </c>
      <c r="AB7" s="195">
        <f t="shared" si="5"/>
        <v>154</v>
      </c>
      <c r="AC7" s="195"/>
      <c r="AD7" s="195">
        <f t="shared" si="6"/>
        <v>301</v>
      </c>
    </row>
    <row r="8">
      <c r="A8" s="196">
        <v>44256.0</v>
      </c>
      <c r="B8" s="191">
        <v>100.0</v>
      </c>
      <c r="C8" s="191">
        <v>19.0</v>
      </c>
      <c r="D8" s="191">
        <f t="shared" si="3"/>
        <v>95</v>
      </c>
      <c r="E8" s="191"/>
      <c r="F8" s="191">
        <f t="shared" si="1"/>
        <v>95</v>
      </c>
      <c r="G8" s="191"/>
      <c r="H8" s="197">
        <v>44256.0</v>
      </c>
      <c r="I8" s="192">
        <v>50.0</v>
      </c>
      <c r="J8" s="192">
        <v>14.0</v>
      </c>
      <c r="K8" s="192">
        <f t="shared" si="4"/>
        <v>73</v>
      </c>
      <c r="L8" s="192"/>
      <c r="M8" s="192">
        <f t="shared" si="2"/>
        <v>73</v>
      </c>
      <c r="N8" s="198">
        <v>44256.0</v>
      </c>
      <c r="O8" s="193"/>
      <c r="P8" s="193"/>
      <c r="Q8" s="193"/>
      <c r="R8" s="193"/>
      <c r="S8" s="193"/>
      <c r="T8" s="199">
        <v>44256.0</v>
      </c>
      <c r="U8" s="194"/>
      <c r="V8" s="194"/>
      <c r="W8" s="194"/>
      <c r="X8" s="194"/>
      <c r="Y8" s="194"/>
      <c r="Z8" s="200">
        <v>44256.0</v>
      </c>
      <c r="AA8" s="195"/>
      <c r="AB8" s="195">
        <f t="shared" si="5"/>
        <v>33</v>
      </c>
      <c r="AC8" s="195"/>
      <c r="AD8" s="195">
        <f t="shared" si="6"/>
        <v>268</v>
      </c>
    </row>
    <row r="9">
      <c r="A9" s="196">
        <v>44287.0</v>
      </c>
      <c r="B9" s="191">
        <v>100.0</v>
      </c>
      <c r="C9" s="191">
        <v>92.0</v>
      </c>
      <c r="D9" s="191">
        <f t="shared" si="3"/>
        <v>103</v>
      </c>
      <c r="E9" s="191"/>
      <c r="F9" s="191">
        <f t="shared" si="1"/>
        <v>103</v>
      </c>
      <c r="G9" s="191"/>
      <c r="H9" s="197">
        <v>44287.0</v>
      </c>
      <c r="I9" s="192"/>
      <c r="J9" s="192">
        <v>12.0</v>
      </c>
      <c r="K9" s="192">
        <f t="shared" si="4"/>
        <v>61</v>
      </c>
      <c r="L9" s="192"/>
      <c r="M9" s="192">
        <f t="shared" si="2"/>
        <v>61</v>
      </c>
      <c r="N9" s="198">
        <v>44287.0</v>
      </c>
      <c r="O9" s="193">
        <v>50.0</v>
      </c>
      <c r="P9" s="193"/>
      <c r="Q9" s="193"/>
      <c r="R9" s="193"/>
      <c r="S9" s="193"/>
      <c r="T9" s="199">
        <v>44287.0</v>
      </c>
      <c r="U9" s="194">
        <v>50.0</v>
      </c>
      <c r="V9" s="194"/>
      <c r="W9" s="194"/>
      <c r="X9" s="194"/>
      <c r="Y9" s="194"/>
      <c r="Z9" s="200">
        <v>44287.0</v>
      </c>
      <c r="AA9" s="195">
        <v>150.0</v>
      </c>
      <c r="AB9" s="195">
        <f t="shared" si="5"/>
        <v>104</v>
      </c>
      <c r="AC9" s="195"/>
      <c r="AD9" s="195">
        <f t="shared" si="6"/>
        <v>314</v>
      </c>
    </row>
    <row r="10">
      <c r="A10" s="196">
        <v>44317.0</v>
      </c>
      <c r="B10" s="191">
        <v>150.0</v>
      </c>
      <c r="C10" s="191">
        <v>75.0</v>
      </c>
      <c r="D10" s="191">
        <f t="shared" si="3"/>
        <v>178</v>
      </c>
      <c r="E10" s="191"/>
      <c r="F10" s="191">
        <f t="shared" si="1"/>
        <v>178</v>
      </c>
      <c r="G10" s="191"/>
      <c r="H10" s="197">
        <v>44317.0</v>
      </c>
      <c r="I10" s="192">
        <v>50.0</v>
      </c>
      <c r="J10" s="192">
        <v>33.0</v>
      </c>
      <c r="K10" s="192">
        <f t="shared" si="4"/>
        <v>78</v>
      </c>
      <c r="L10" s="192"/>
      <c r="M10" s="192">
        <f t="shared" si="2"/>
        <v>78</v>
      </c>
      <c r="N10" s="198">
        <v>44317.0</v>
      </c>
      <c r="O10" s="193">
        <v>100.0</v>
      </c>
      <c r="P10" s="193">
        <v>27.0</v>
      </c>
      <c r="Q10" s="193">
        <f>O9-P10</f>
        <v>23</v>
      </c>
      <c r="R10" s="193"/>
      <c r="S10" s="193">
        <f>Q10-R10</f>
        <v>23</v>
      </c>
      <c r="T10" s="199">
        <v>44317.0</v>
      </c>
      <c r="U10" s="194"/>
      <c r="V10" s="194"/>
      <c r="W10" s="194"/>
      <c r="X10" s="194"/>
      <c r="Y10" s="194"/>
      <c r="Z10" s="200">
        <v>44317.0</v>
      </c>
      <c r="AA10" s="195">
        <v>400.0</v>
      </c>
      <c r="AB10" s="195">
        <f>C10+J10+P10+V10</f>
        <v>135</v>
      </c>
      <c r="AC10" s="195"/>
      <c r="AD10" s="195">
        <f t="shared" si="6"/>
        <v>579</v>
      </c>
    </row>
    <row r="11">
      <c r="A11" s="196">
        <v>44348.0</v>
      </c>
      <c r="B11" s="191">
        <v>150.0</v>
      </c>
      <c r="C11" s="191">
        <v>138.0</v>
      </c>
      <c r="D11" s="191">
        <f t="shared" si="3"/>
        <v>190</v>
      </c>
      <c r="E11" s="191"/>
      <c r="F11" s="191">
        <f t="shared" si="1"/>
        <v>190</v>
      </c>
      <c r="G11" s="191"/>
      <c r="H11" s="197">
        <v>44348.0</v>
      </c>
      <c r="I11" s="192">
        <v>50.0</v>
      </c>
      <c r="J11" s="192">
        <v>72.0</v>
      </c>
      <c r="K11" s="192">
        <f t="shared" si="4"/>
        <v>56</v>
      </c>
      <c r="L11" s="192"/>
      <c r="M11" s="192">
        <f t="shared" si="2"/>
        <v>56</v>
      </c>
      <c r="N11" s="198">
        <v>44348.0</v>
      </c>
      <c r="O11" s="193"/>
      <c r="P11" s="193">
        <v>7.0</v>
      </c>
      <c r="Q11" s="193"/>
      <c r="R11" s="193">
        <v>1.0</v>
      </c>
      <c r="S11" s="193"/>
      <c r="T11" s="199">
        <v>44348.0</v>
      </c>
      <c r="U11" s="194"/>
      <c r="V11" s="194"/>
      <c r="W11" s="194"/>
      <c r="X11" s="194"/>
      <c r="Y11" s="194"/>
      <c r="Z11" s="200">
        <v>44348.0</v>
      </c>
      <c r="AA11" s="195"/>
      <c r="AB11" s="195">
        <v>218.0</v>
      </c>
      <c r="AC11" s="195"/>
      <c r="AD11" s="195">
        <f t="shared" si="6"/>
        <v>361</v>
      </c>
    </row>
    <row r="12">
      <c r="A12" s="196">
        <v>44378.0</v>
      </c>
      <c r="B12" s="191">
        <v>250.0</v>
      </c>
      <c r="C12" s="191">
        <v>66.0</v>
      </c>
      <c r="D12" s="191">
        <f t="shared" si="3"/>
        <v>374</v>
      </c>
      <c r="E12" s="191"/>
      <c r="F12" s="191">
        <f t="shared" si="1"/>
        <v>374</v>
      </c>
      <c r="G12" s="191"/>
      <c r="H12" s="197">
        <v>44378.0</v>
      </c>
      <c r="I12" s="192"/>
      <c r="J12" s="192">
        <v>27.0</v>
      </c>
      <c r="K12" s="192">
        <f t="shared" si="4"/>
        <v>29</v>
      </c>
      <c r="L12" s="192"/>
      <c r="M12" s="192">
        <f t="shared" si="2"/>
        <v>29</v>
      </c>
      <c r="N12" s="198">
        <v>44378.0</v>
      </c>
      <c r="O12" s="193"/>
      <c r="P12" s="193">
        <v>68.0</v>
      </c>
      <c r="Q12" s="193"/>
      <c r="R12" s="193"/>
      <c r="S12" s="193">
        <v>34.0</v>
      </c>
      <c r="T12" s="199">
        <v>44378.0</v>
      </c>
      <c r="U12" s="194"/>
      <c r="V12" s="194"/>
      <c r="W12" s="194"/>
      <c r="X12" s="194"/>
      <c r="Y12" s="194"/>
      <c r="Z12" s="200">
        <v>44378.0</v>
      </c>
      <c r="AA12" s="195">
        <v>1000.0</v>
      </c>
      <c r="AB12" s="195">
        <v>161.0</v>
      </c>
      <c r="AC12" s="195"/>
      <c r="AD12" s="195">
        <f t="shared" si="6"/>
        <v>1200</v>
      </c>
    </row>
    <row r="13">
      <c r="A13" s="196">
        <v>44409.0</v>
      </c>
      <c r="B13" s="191">
        <v>300.0</v>
      </c>
      <c r="C13" s="191">
        <v>605.0</v>
      </c>
      <c r="D13" s="191">
        <f t="shared" si="3"/>
        <v>69</v>
      </c>
      <c r="E13" s="191"/>
      <c r="F13" s="191">
        <f t="shared" si="1"/>
        <v>69</v>
      </c>
      <c r="G13" s="191"/>
      <c r="H13" s="197">
        <v>44409.0</v>
      </c>
      <c r="I13" s="192"/>
      <c r="J13" s="192">
        <v>25.0</v>
      </c>
      <c r="K13" s="192">
        <f t="shared" si="4"/>
        <v>4</v>
      </c>
      <c r="L13" s="192"/>
      <c r="M13" s="192">
        <f t="shared" si="2"/>
        <v>4</v>
      </c>
      <c r="N13" s="198">
        <v>44409.0</v>
      </c>
      <c r="O13" s="193"/>
      <c r="P13" s="193">
        <v>38.0</v>
      </c>
      <c r="Q13" s="193"/>
      <c r="R13" s="193">
        <v>1.0</v>
      </c>
      <c r="S13" s="193"/>
      <c r="T13" s="199">
        <v>44409.0</v>
      </c>
      <c r="U13" s="194"/>
      <c r="V13" s="194"/>
      <c r="W13" s="194"/>
      <c r="X13" s="194">
        <v>1.0</v>
      </c>
      <c r="Y13" s="194"/>
      <c r="Z13" s="200">
        <v>44409.0</v>
      </c>
      <c r="AA13" s="195"/>
      <c r="AB13" s="195">
        <v>669.0</v>
      </c>
      <c r="AC13" s="195"/>
      <c r="AD13" s="195">
        <f t="shared" si="6"/>
        <v>531</v>
      </c>
    </row>
    <row r="14">
      <c r="A14" s="196">
        <v>44440.0</v>
      </c>
      <c r="B14" s="191">
        <v>100.0</v>
      </c>
      <c r="C14" s="191">
        <v>26.0</v>
      </c>
      <c r="D14" s="191">
        <f t="shared" si="3"/>
        <v>143</v>
      </c>
      <c r="E14" s="191"/>
      <c r="F14" s="191">
        <f t="shared" si="1"/>
        <v>143</v>
      </c>
      <c r="G14" s="191"/>
      <c r="H14" s="197">
        <v>44440.0</v>
      </c>
      <c r="I14" s="192">
        <v>50.0</v>
      </c>
      <c r="J14" s="192">
        <v>4.0</v>
      </c>
      <c r="K14" s="192">
        <f t="shared" si="4"/>
        <v>50</v>
      </c>
      <c r="L14" s="192"/>
      <c r="M14" s="192">
        <f t="shared" si="2"/>
        <v>50</v>
      </c>
      <c r="N14" s="198">
        <v>44440.0</v>
      </c>
      <c r="O14" s="193">
        <v>100.0</v>
      </c>
      <c r="P14" s="193">
        <v>16.0</v>
      </c>
      <c r="Q14" s="193"/>
      <c r="R14" s="193"/>
      <c r="S14" s="193">
        <v>100.0</v>
      </c>
      <c r="T14" s="199">
        <v>44440.0</v>
      </c>
      <c r="U14" s="194"/>
      <c r="V14" s="194"/>
      <c r="W14" s="194"/>
      <c r="X14" s="194"/>
      <c r="Y14" s="194"/>
      <c r="Z14" s="200">
        <v>44440.0</v>
      </c>
      <c r="AA14" s="195"/>
      <c r="AB14" s="195">
        <v>47.0</v>
      </c>
      <c r="AC14" s="195"/>
      <c r="AD14" s="195">
        <f t="shared" si="6"/>
        <v>484</v>
      </c>
    </row>
    <row r="15">
      <c r="A15" s="196">
        <v>44470.0</v>
      </c>
      <c r="B15" s="191"/>
      <c r="C15" s="191">
        <v>5.0</v>
      </c>
      <c r="D15" s="191">
        <f t="shared" si="3"/>
        <v>138</v>
      </c>
      <c r="E15" s="191"/>
      <c r="F15" s="191">
        <f t="shared" si="1"/>
        <v>138</v>
      </c>
      <c r="G15" s="191"/>
      <c r="H15" s="197">
        <v>44470.0</v>
      </c>
      <c r="I15" s="192"/>
      <c r="J15" s="192">
        <v>3.0</v>
      </c>
      <c r="K15" s="192">
        <f t="shared" si="4"/>
        <v>47</v>
      </c>
      <c r="L15" s="192"/>
      <c r="M15" s="192">
        <f t="shared" si="2"/>
        <v>47</v>
      </c>
      <c r="N15" s="198">
        <v>44470.0</v>
      </c>
      <c r="O15" s="193"/>
      <c r="P15" s="193">
        <v>5.0</v>
      </c>
      <c r="Q15" s="193"/>
      <c r="R15" s="193"/>
      <c r="S15" s="193"/>
      <c r="T15" s="199">
        <v>44470.0</v>
      </c>
      <c r="U15" s="194"/>
      <c r="V15" s="194"/>
      <c r="W15" s="194"/>
      <c r="X15" s="194"/>
      <c r="Y15" s="194"/>
      <c r="Z15" s="200">
        <v>44470.0</v>
      </c>
      <c r="AA15" s="195"/>
      <c r="AB15" s="195">
        <f>C15+J15</f>
        <v>8</v>
      </c>
      <c r="AC15" s="195"/>
      <c r="AD15" s="195">
        <f t="shared" si="6"/>
        <v>476</v>
      </c>
    </row>
    <row r="16">
      <c r="A16" s="196">
        <v>44501.0</v>
      </c>
      <c r="B16" s="191"/>
      <c r="C16" s="191">
        <v>36.0</v>
      </c>
      <c r="D16" s="191">
        <f t="shared" si="3"/>
        <v>102</v>
      </c>
      <c r="E16" s="191"/>
      <c r="F16" s="191">
        <f t="shared" si="1"/>
        <v>102</v>
      </c>
      <c r="G16" s="191"/>
      <c r="H16" s="197">
        <v>44501.0</v>
      </c>
      <c r="I16" s="192"/>
      <c r="J16" s="192"/>
      <c r="K16" s="192">
        <f t="shared" si="4"/>
        <v>47</v>
      </c>
      <c r="L16" s="192"/>
      <c r="M16" s="192">
        <f t="shared" si="2"/>
        <v>47</v>
      </c>
      <c r="N16" s="198">
        <v>44501.0</v>
      </c>
      <c r="O16" s="193"/>
      <c r="P16" s="193">
        <v>20.0</v>
      </c>
      <c r="Q16" s="193"/>
      <c r="R16" s="193"/>
      <c r="S16" s="193"/>
      <c r="T16" s="199">
        <v>44501.0</v>
      </c>
      <c r="U16" s="194"/>
      <c r="V16" s="194"/>
      <c r="W16" s="194"/>
      <c r="X16" s="194"/>
      <c r="Y16" s="194"/>
      <c r="Z16" s="200">
        <v>44501.0</v>
      </c>
      <c r="AA16" s="195"/>
      <c r="AB16" s="195">
        <v>56.0</v>
      </c>
      <c r="AC16" s="195"/>
      <c r="AD16" s="195">
        <f t="shared" si="6"/>
        <v>420</v>
      </c>
    </row>
    <row r="17">
      <c r="A17" s="196">
        <v>44531.0</v>
      </c>
      <c r="B17" s="191"/>
      <c r="C17" s="191">
        <v>81.0</v>
      </c>
      <c r="D17" s="191">
        <f t="shared" si="3"/>
        <v>21</v>
      </c>
      <c r="E17" s="191"/>
      <c r="F17" s="191">
        <f t="shared" si="1"/>
        <v>21</v>
      </c>
      <c r="G17" s="191"/>
      <c r="H17" s="197">
        <v>44531.0</v>
      </c>
      <c r="I17" s="192"/>
      <c r="J17" s="192">
        <v>37.0</v>
      </c>
      <c r="K17" s="192">
        <f t="shared" si="4"/>
        <v>10</v>
      </c>
      <c r="L17" s="192"/>
      <c r="M17" s="192">
        <f t="shared" si="2"/>
        <v>10</v>
      </c>
      <c r="N17" s="198">
        <v>44531.0</v>
      </c>
      <c r="O17" s="193">
        <v>100.0</v>
      </c>
      <c r="P17" s="193">
        <v>75.0</v>
      </c>
      <c r="Q17" s="193"/>
      <c r="R17" s="193"/>
      <c r="S17" s="193"/>
      <c r="T17" s="199">
        <v>44531.0</v>
      </c>
      <c r="U17" s="194"/>
      <c r="V17" s="194"/>
      <c r="W17" s="194"/>
      <c r="X17" s="194">
        <v>8.0</v>
      </c>
      <c r="Y17" s="194"/>
      <c r="Z17" s="200">
        <v>44531.0</v>
      </c>
      <c r="AA17" s="195"/>
      <c r="AB17" s="195">
        <v>201.0</v>
      </c>
      <c r="AC17" s="195"/>
      <c r="AD17" s="195">
        <f t="shared" si="6"/>
        <v>219</v>
      </c>
    </row>
    <row r="18">
      <c r="A18" s="196">
        <v>44562.0</v>
      </c>
      <c r="B18" s="191">
        <v>100.0</v>
      </c>
      <c r="C18" s="191">
        <v>6.0</v>
      </c>
      <c r="D18" s="191">
        <f t="shared" si="3"/>
        <v>115</v>
      </c>
      <c r="E18" s="191"/>
      <c r="F18" s="191">
        <f t="shared" si="1"/>
        <v>115</v>
      </c>
      <c r="G18" s="191"/>
      <c r="H18" s="197">
        <v>44562.0</v>
      </c>
      <c r="I18" s="192">
        <v>50.0</v>
      </c>
      <c r="J18" s="192">
        <v>6.0</v>
      </c>
      <c r="K18" s="192">
        <f t="shared" si="4"/>
        <v>54</v>
      </c>
      <c r="L18" s="192"/>
      <c r="M18" s="192">
        <f t="shared" si="2"/>
        <v>54</v>
      </c>
      <c r="N18" s="198">
        <v>44562.0</v>
      </c>
      <c r="O18" s="193"/>
      <c r="P18" s="193">
        <v>32.0</v>
      </c>
      <c r="Q18" s="193"/>
      <c r="R18" s="193"/>
      <c r="S18" s="193"/>
      <c r="T18" s="199">
        <v>44562.0</v>
      </c>
      <c r="U18" s="194"/>
      <c r="V18" s="194"/>
      <c r="W18" s="194"/>
      <c r="X18" s="194"/>
      <c r="Y18" s="194"/>
      <c r="Z18" s="200">
        <v>44562.0</v>
      </c>
      <c r="AA18" s="195">
        <v>50.0</v>
      </c>
      <c r="AB18" s="195">
        <v>44.0</v>
      </c>
      <c r="AC18" s="195"/>
      <c r="AD18" s="195">
        <f t="shared" si="6"/>
        <v>225</v>
      </c>
    </row>
    <row r="20">
      <c r="B20" s="192" t="s">
        <v>943</v>
      </c>
      <c r="C20" s="192"/>
      <c r="D20" s="192"/>
      <c r="E20" s="191" t="s">
        <v>955</v>
      </c>
      <c r="F20" s="191"/>
      <c r="G20" s="191"/>
      <c r="H20" s="201" t="s">
        <v>956</v>
      </c>
      <c r="I20" s="201"/>
      <c r="J20" s="201"/>
      <c r="K20" s="194" t="s">
        <v>945</v>
      </c>
      <c r="L20" s="194"/>
      <c r="M20" s="194"/>
      <c r="O20" s="202" t="s">
        <v>957</v>
      </c>
      <c r="P20" s="203" t="s">
        <v>943</v>
      </c>
      <c r="Q20" s="203" t="s">
        <v>955</v>
      </c>
      <c r="R20" s="203" t="s">
        <v>956</v>
      </c>
      <c r="S20" s="203" t="s">
        <v>945</v>
      </c>
    </row>
    <row r="21">
      <c r="A21" s="189" t="s">
        <v>958</v>
      </c>
      <c r="B21" s="192" t="s">
        <v>583</v>
      </c>
      <c r="C21" s="192" t="s">
        <v>959</v>
      </c>
      <c r="D21" s="192" t="s">
        <v>960</v>
      </c>
      <c r="E21" s="191" t="s">
        <v>583</v>
      </c>
      <c r="F21" s="191" t="s">
        <v>959</v>
      </c>
      <c r="G21" s="191" t="s">
        <v>960</v>
      </c>
      <c r="H21" s="201" t="s">
        <v>583</v>
      </c>
      <c r="I21" s="201" t="s">
        <v>959</v>
      </c>
      <c r="J21" s="201" t="s">
        <v>960</v>
      </c>
      <c r="K21" s="194" t="s">
        <v>583</v>
      </c>
      <c r="L21" s="194" t="s">
        <v>959</v>
      </c>
      <c r="M21" s="194" t="s">
        <v>960</v>
      </c>
      <c r="O21" s="198">
        <v>44136.0</v>
      </c>
      <c r="P21" s="204"/>
      <c r="Q21" s="204"/>
      <c r="R21" s="204"/>
      <c r="S21" s="204"/>
    </row>
    <row r="22" ht="18.0" customHeight="1">
      <c r="A22" s="189" t="s">
        <v>46</v>
      </c>
      <c r="B22" s="192">
        <f t="shared" ref="B22:B26" si="7">C22-D22</f>
        <v>8</v>
      </c>
      <c r="C22" s="192">
        <v>12.0</v>
      </c>
      <c r="D22" s="192">
        <v>4.0</v>
      </c>
      <c r="E22" s="191">
        <f t="shared" ref="E22:E26" si="8">F22-G22</f>
        <v>20</v>
      </c>
      <c r="F22" s="191">
        <v>24.0</v>
      </c>
      <c r="G22" s="191">
        <v>4.0</v>
      </c>
      <c r="H22" s="201">
        <f t="shared" ref="H22:H26" si="9">I22-J22</f>
        <v>0</v>
      </c>
      <c r="I22" s="201"/>
      <c r="J22" s="201"/>
      <c r="K22" s="194">
        <f t="shared" ref="K22:K26" si="10">L22-M22</f>
        <v>0</v>
      </c>
      <c r="L22" s="194"/>
      <c r="M22" s="194"/>
      <c r="O22" s="198">
        <v>44166.0</v>
      </c>
      <c r="P22" s="204"/>
      <c r="Q22" s="204"/>
      <c r="R22" s="204"/>
      <c r="S22" s="204"/>
    </row>
    <row r="23">
      <c r="A23" s="189" t="s">
        <v>961</v>
      </c>
      <c r="B23" s="192">
        <f t="shared" si="7"/>
        <v>0</v>
      </c>
      <c r="C23" s="192"/>
      <c r="D23" s="192"/>
      <c r="E23" s="191">
        <f t="shared" si="8"/>
        <v>0</v>
      </c>
      <c r="F23" s="191"/>
      <c r="G23" s="191"/>
      <c r="H23" s="201">
        <f t="shared" si="9"/>
        <v>0</v>
      </c>
      <c r="I23" s="201"/>
      <c r="J23" s="201"/>
      <c r="K23" s="194">
        <f t="shared" si="10"/>
        <v>0</v>
      </c>
      <c r="L23" s="194"/>
      <c r="M23" s="194"/>
      <c r="O23" s="198">
        <v>44197.0</v>
      </c>
      <c r="P23" s="204"/>
      <c r="Q23" s="204"/>
      <c r="R23" s="204"/>
      <c r="S23" s="204"/>
    </row>
    <row r="24">
      <c r="A24" s="189" t="s">
        <v>822</v>
      </c>
      <c r="B24" s="192">
        <f t="shared" si="7"/>
        <v>30</v>
      </c>
      <c r="C24" s="192">
        <v>30.0</v>
      </c>
      <c r="D24" s="192"/>
      <c r="E24" s="191">
        <f t="shared" si="8"/>
        <v>36</v>
      </c>
      <c r="F24" s="191">
        <v>54.0</v>
      </c>
      <c r="G24" s="191">
        <v>18.0</v>
      </c>
      <c r="H24" s="201">
        <f t="shared" si="9"/>
        <v>0</v>
      </c>
      <c r="I24" s="201">
        <v>18.0</v>
      </c>
      <c r="J24" s="201">
        <v>18.0</v>
      </c>
      <c r="K24" s="194">
        <f t="shared" si="10"/>
        <v>0</v>
      </c>
      <c r="L24" s="194"/>
      <c r="M24" s="194"/>
      <c r="O24" s="198">
        <v>44228.0</v>
      </c>
      <c r="P24" s="204"/>
      <c r="Q24" s="204"/>
      <c r="R24" s="204"/>
      <c r="S24" s="204"/>
    </row>
    <row r="25">
      <c r="A25" s="189" t="s">
        <v>78</v>
      </c>
      <c r="B25" s="192">
        <f t="shared" si="7"/>
        <v>6</v>
      </c>
      <c r="C25" s="192">
        <v>6.0</v>
      </c>
      <c r="D25" s="192"/>
      <c r="E25" s="191">
        <f t="shared" si="8"/>
        <v>6</v>
      </c>
      <c r="F25" s="191">
        <v>6.0</v>
      </c>
      <c r="G25" s="191"/>
      <c r="H25" s="201">
        <f t="shared" si="9"/>
        <v>6</v>
      </c>
      <c r="I25" s="201">
        <v>6.0</v>
      </c>
      <c r="J25" s="201"/>
      <c r="K25" s="194">
        <f t="shared" si="10"/>
        <v>0</v>
      </c>
      <c r="L25" s="194"/>
      <c r="M25" s="194"/>
      <c r="O25" s="198">
        <v>44256.0</v>
      </c>
      <c r="P25" s="204"/>
      <c r="Q25" s="204"/>
      <c r="R25" s="204"/>
      <c r="S25" s="204"/>
    </row>
    <row r="26">
      <c r="A26" s="189" t="s">
        <v>962</v>
      </c>
      <c r="B26" s="192">
        <f t="shared" si="7"/>
        <v>12</v>
      </c>
      <c r="C26" s="192">
        <v>12.0</v>
      </c>
      <c r="D26" s="192"/>
      <c r="E26" s="191">
        <f t="shared" si="8"/>
        <v>33</v>
      </c>
      <c r="F26" s="191">
        <v>36.0</v>
      </c>
      <c r="G26" s="191">
        <v>3.0</v>
      </c>
      <c r="H26" s="201">
        <f t="shared" si="9"/>
        <v>0</v>
      </c>
      <c r="I26" s="201"/>
      <c r="J26" s="201"/>
      <c r="K26" s="194">
        <f t="shared" si="10"/>
        <v>0</v>
      </c>
      <c r="L26" s="194"/>
      <c r="M26" s="194"/>
      <c r="O26" s="198">
        <v>44287.0</v>
      </c>
      <c r="P26" s="204"/>
      <c r="Q26" s="204"/>
      <c r="R26" s="204"/>
      <c r="S26" s="204"/>
    </row>
    <row r="27">
      <c r="A27" s="9" t="s">
        <v>963</v>
      </c>
      <c r="B27" s="9">
        <v>48.0</v>
      </c>
      <c r="G27" s="9">
        <v>48.0</v>
      </c>
      <c r="O27" s="198">
        <v>44317.0</v>
      </c>
      <c r="P27" s="204"/>
      <c r="Q27" s="204">
        <v>6.0</v>
      </c>
      <c r="R27" s="204"/>
      <c r="S27" s="204"/>
    </row>
    <row r="28">
      <c r="O28" s="198">
        <v>44348.0</v>
      </c>
      <c r="P28" s="204"/>
      <c r="Q28" s="204"/>
      <c r="R28" s="204">
        <v>1.0</v>
      </c>
      <c r="S28" s="204"/>
    </row>
    <row r="29">
      <c r="O29" s="198">
        <v>44378.0</v>
      </c>
      <c r="P29" s="204">
        <v>4.0</v>
      </c>
      <c r="Q29" s="204">
        <v>4.0</v>
      </c>
      <c r="R29" s="204">
        <v>3.0</v>
      </c>
      <c r="S29" s="204"/>
    </row>
    <row r="30">
      <c r="O30" s="198">
        <v>44409.0</v>
      </c>
      <c r="P30" s="204">
        <v>2.0</v>
      </c>
      <c r="Q30" s="204">
        <v>1.0</v>
      </c>
      <c r="R30" s="204">
        <v>7.0</v>
      </c>
      <c r="S30" s="204">
        <v>1.0</v>
      </c>
    </row>
    <row r="31">
      <c r="O31" s="198">
        <v>44440.0</v>
      </c>
      <c r="P31" s="204"/>
      <c r="Q31" s="204"/>
      <c r="R31" s="204"/>
      <c r="S31" s="204"/>
    </row>
    <row r="32">
      <c r="O32" s="198">
        <v>44470.0</v>
      </c>
      <c r="P32" s="204"/>
      <c r="Q32" s="204"/>
      <c r="R32" s="204"/>
      <c r="S32" s="204"/>
    </row>
    <row r="33">
      <c r="O33" s="198">
        <v>44501.0</v>
      </c>
      <c r="P33" s="204"/>
      <c r="Q33" s="204"/>
      <c r="R33" s="204"/>
      <c r="S33" s="204"/>
    </row>
    <row r="34">
      <c r="O34" s="198">
        <v>44531.0</v>
      </c>
      <c r="P34" s="204">
        <v>4.0</v>
      </c>
      <c r="Q34" s="204">
        <v>9.0</v>
      </c>
      <c r="R34" s="204">
        <v>14.0</v>
      </c>
      <c r="S34" s="204">
        <v>8.0</v>
      </c>
    </row>
    <row r="35">
      <c r="O35" s="198">
        <v>44562.0</v>
      </c>
      <c r="P35" s="204"/>
      <c r="Q35" s="204"/>
      <c r="R35" s="204"/>
      <c r="S35" s="204"/>
    </row>
    <row r="37">
      <c r="C37" s="205"/>
    </row>
  </sheetData>
  <conditionalFormatting sqref="A4:A18">
    <cfRule type="notContainsBlanks" dxfId="3" priority="1">
      <formula>LEN(TRIM(A4))&gt;0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2019-07-05T13:03:05Z</dcterms:created>
</cp:coreProperties>
</file>